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Login" sheetId="2" state="visible" r:id="rId4"/>
    <sheet name="Produtos" sheetId="3" state="visible" r:id="rId5"/>
    <sheet name="Checkout" sheetId="4" state="visible" r:id="rId6"/>
    <sheet name="API" sheetId="5" state="visible" r:id="rId7"/>
    <sheet name="Defeitos" sheetId="6" state="visible" r:id="rId8"/>
    <sheet name="Defeitos Ativos" sheetId="7" state="visible" r:id="rId9"/>
    <sheet name="_qa_lotes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<sst xmlns="http://schemas.openxmlformats.org/spreadsheetml/2006/main" count="373" uniqueCount="192">
  <si>
    <t xml:space="preserve">Demo QA — saucedemo.com (site público de prática)</t>
  </si>
  <si>
    <t xml:space="preserve">Área</t>
  </si>
  <si>
    <t xml:space="preserve">Total</t>
  </si>
  <si>
    <t xml:space="preserve">Por testar</t>
  </si>
  <si>
    <t xml:space="preserve">Pass</t>
  </si>
  <si>
    <t xml:space="preserve">Fail</t>
  </si>
  <si>
    <t xml:space="preserve">Blocked</t>
  </si>
  <si>
    <t xml:space="preserve">N/A</t>
  </si>
  <si>
    <t xml:space="preserve">% Executado</t>
  </si>
  <si>
    <t xml:space="preserve">Login</t>
  </si>
  <si>
    <t xml:space="preserve">Produtos</t>
  </si>
  <si>
    <t xml:space="preserve">Checkout</t>
  </si>
  <si>
    <t xml:space="preserve">API</t>
  </si>
  <si>
    <t xml:space="preserve">% Executado = casos fora de Por testar (N/A e Blocked contam como executados).</t>
  </si>
  <si>
    <t xml:space="preserve">ID</t>
  </si>
  <si>
    <t xml:space="preserve">Título</t>
  </si>
  <si>
    <t xml:space="preserve">Role</t>
  </si>
  <si>
    <t xml:space="preserve">Técnica</t>
  </si>
  <si>
    <t xml:space="preserve">Prioridade</t>
  </si>
  <si>
    <t xml:space="preserve">Pré-condições</t>
  </si>
  <si>
    <t xml:space="preserve">Passos</t>
  </si>
  <si>
    <t xml:space="preserve">Resultado Esperado</t>
  </si>
  <si>
    <t xml:space="preserve">Estado</t>
  </si>
  <si>
    <t xml:space="preserve">Resultado Obtido</t>
  </si>
  <si>
    <t xml:space="preserve">Observações</t>
  </si>
  <si>
    <t xml:space="preserve">CT-LOGIN-001</t>
  </si>
  <si>
    <t xml:space="preserve">Login com credenciais válidas</t>
  </si>
  <si>
    <t xml:space="preserve">standard_user</t>
  </si>
  <si>
    <t xml:space="preserve">Partição de equivalência</t>
  </si>
  <si>
    <t xml:space="preserve">Alta</t>
  </si>
  <si>
    <t xml:space="preserve">Página de login aberta, sem sessão iniciada.</t>
  </si>
  <si>
    <t xml:space="preserve">1. Preencher Username e Password com a conta da role.
2. Clicar em Login.</t>
  </si>
  <si>
    <t xml:space="preserve">Abre a página "Products" (/inventory.html).</t>
  </si>
  <si>
    <t xml:space="preserve">CT-LOGIN-002</t>
  </si>
  <si>
    <t xml:space="preserve">Login de utilizador bloqueado</t>
  </si>
  <si>
    <t xml:space="preserve">locked_out_user</t>
  </si>
  <si>
    <t xml:space="preserve">Matriz de roles</t>
  </si>
  <si>
    <t xml:space="preserve">Mostra o erro "Epic sadface: Sorry, this user has been locked out." e fica na página de login.</t>
  </si>
  <si>
    <t xml:space="preserve">CT-LOGIN-003</t>
  </si>
  <si>
    <t xml:space="preserve">Login sem username</t>
  </si>
  <si>
    <t xml:space="preserve">—</t>
  </si>
  <si>
    <t xml:space="preserve">Média</t>
  </si>
  <si>
    <t xml:space="preserve">1. Deixar Username vazio e preencher Password.
2. Clicar em Login.</t>
  </si>
  <si>
    <t xml:space="preserve">Mostra o erro "Epic sadface: Username is required".</t>
  </si>
  <si>
    <t xml:space="preserve">CT-LOGIN-004</t>
  </si>
  <si>
    <t xml:space="preserve">Login sem password</t>
  </si>
  <si>
    <t xml:space="preserve">1. Preencher Username com a conta da role e deixar Password vazio.
2. Clicar em Login.</t>
  </si>
  <si>
    <t xml:space="preserve">Mostra o erro "Epic sadface: Password is required".</t>
  </si>
  <si>
    <t xml:space="preserve">CT-LOGIN-005</t>
  </si>
  <si>
    <t xml:space="preserve">Login com password errada</t>
  </si>
  <si>
    <t xml:space="preserve">1. Preencher Username com a conta da role e Password com um valor errado.
2. Clicar em Login.</t>
  </si>
  <si>
    <t xml:space="preserve">Mostra o erro "Epic sadface: Username and password do not match any user in this service".</t>
  </si>
  <si>
    <t xml:space="preserve">CT-LOGIN-006</t>
  </si>
  <si>
    <t xml:space="preserve">Acesso direto ao inventário sem sessão</t>
  </si>
  <si>
    <t xml:space="preserve">Error guessing</t>
  </si>
  <si>
    <t xml:space="preserve">Sem sessão iniciada.</t>
  </si>
  <si>
    <t xml:space="preserve">1. Abrir diretamente /inventory.html.</t>
  </si>
  <si>
    <t xml:space="preserve">Volta à página de login com o erro "Epic sadface: You can only access '/inventory.html' when you are logged in.".</t>
  </si>
  <si>
    <t xml:space="preserve">CT-LOGIN-007</t>
  </si>
  <si>
    <t xml:space="preserve">Logout</t>
  </si>
  <si>
    <t xml:space="preserve">Transição de estados</t>
  </si>
  <si>
    <t xml:space="preserve">Sessão iniciada com a role indicada; página Products aberta; carrinho vazio.</t>
  </si>
  <si>
    <t xml:space="preserve">1. Abrir o menu lateral.
2. Clicar em Logout.
3. Usar o Back do browser.</t>
  </si>
  <si>
    <t xml:space="preserve">Volta à página de login; o Back não reabre o inventário sem nova sessão.</t>
  </si>
  <si>
    <t xml:space="preserve">CT-PROD-001</t>
  </si>
  <si>
    <t xml:space="preserve">Lista de produtos</t>
  </si>
  <si>
    <t xml:space="preserve">1. Observar a lista de produtos.</t>
  </si>
  <si>
    <t xml:space="preserve">São apresentados 6 produtos, cada um com nome, descrição, preço, imagem e botão "Add to cart".</t>
  </si>
  <si>
    <t xml:space="preserve">CT-PROD-002</t>
  </si>
  <si>
    <t xml:space="preserve">Ordenar por preço (low to high)</t>
  </si>
  <si>
    <t xml:space="preserve">1. Escolher "Price (low to high)" no seletor de ordenação.</t>
  </si>
  <si>
    <t xml:space="preserve">Os produtos ficam por ordem crescente de preço.</t>
  </si>
  <si>
    <t xml:space="preserve">CT-PROD-003</t>
  </si>
  <si>
    <t xml:space="preserve">Ordenar por nome (Z to A)</t>
  </si>
  <si>
    <t xml:space="preserve">Baixa</t>
  </si>
  <si>
    <t xml:space="preserve">1. Escolher "Name (Z to A)" no seletor de ordenação.</t>
  </si>
  <si>
    <t xml:space="preserve">Os produtos ficam por ordem alfabética decrescente de nome.</t>
  </si>
  <si>
    <t xml:space="preserve">CT-PROD-004</t>
  </si>
  <si>
    <t xml:space="preserve">Detalhe do produto</t>
  </si>
  <si>
    <t xml:space="preserve">1. Anotar o nome e o preço do primeiro produto.
2. Clicar no nome do produto.
3. Clicar em "Back to products".</t>
  </si>
  <si>
    <t xml:space="preserve">O detalhe mostra o mesmo nome e preço da lista; "Back to products" volta à lista.</t>
  </si>
  <si>
    <t xml:space="preserve">CT-PROD-005</t>
  </si>
  <si>
    <t xml:space="preserve">Imagens dos produtos (problem_user)</t>
  </si>
  <si>
    <t xml:space="preserve">problem_user</t>
  </si>
  <si>
    <t xml:space="preserve">1. Observar a imagem de cada produto e comparar com a do standard_user.</t>
  </si>
  <si>
    <t xml:space="preserve">Cada produto mostra a sua própria imagem, igual à apresentada ao standard_user.</t>
  </si>
  <si>
    <t xml:space="preserve">CT-CHK-001</t>
  </si>
  <si>
    <t xml:space="preserve">Adicionar ao carrinho</t>
  </si>
  <si>
    <t xml:space="preserve">1. Clicar em "Add to cart" no primeiro produto.</t>
  </si>
  <si>
    <t xml:space="preserve">O contador do carrinho mostra 1 e o botão do produto passa a "Remove".</t>
  </si>
  <si>
    <t xml:space="preserve">CT-CHK-002</t>
  </si>
  <si>
    <t xml:space="preserve">Remover do carrinho</t>
  </si>
  <si>
    <t xml:space="preserve">Sessão iniciada com a role indicada; página Products aberta; carrinho vazio. Um produto no carrinho.</t>
  </si>
  <si>
    <t xml:space="preserve">1. Abrir o carrinho.
2. Clicar em "Remove" no produto.</t>
  </si>
  <si>
    <t xml:space="preserve">O carrinho fica vazio e o contador do carrinho desaparece.</t>
  </si>
  <si>
    <t xml:space="preserve">CT-CHK-003</t>
  </si>
  <si>
    <t xml:space="preserve">Checkout sem First Name</t>
  </si>
  <si>
    <t xml:space="preserve">1. Abrir o carrinho e clicar em Checkout.
2. Preencher Last Name e Postal Code, deixar First Name vazio.
3. Clicar em Continue.</t>
  </si>
  <si>
    <t xml:space="preserve">Mostra o erro "Error: First Name is required".</t>
  </si>
  <si>
    <t xml:space="preserve">CT-CHK-004</t>
  </si>
  <si>
    <t xml:space="preserve">Checkout sem Postal Code</t>
  </si>
  <si>
    <t xml:space="preserve">1. Abrir o carrinho e clicar em Checkout.
2. Preencher First Name e Last Name, deixar Postal Code vazio.
3. Clicar em Continue.</t>
  </si>
  <si>
    <t xml:space="preserve">Mostra o erro "Error: Postal Code is required".</t>
  </si>
  <si>
    <t xml:space="preserve">CT-CHK-005</t>
  </si>
  <si>
    <t xml:space="preserve">Total no resumo do checkout</t>
  </si>
  <si>
    <t xml:space="preserve">Valores-limite (cálculo)</t>
  </si>
  <si>
    <t xml:space="preserve">Sessão iniciada com a role indicada; página Products aberta; carrinho vazio. Dois produtos no carrinho.</t>
  </si>
  <si>
    <t xml:space="preserve">1. Abrir o carrinho e clicar em Checkout.
2. Preencher os três campos com dados fictícios.
3. Clicar em Continue.</t>
  </si>
  <si>
    <t xml:space="preserve">Total = Item total + Tax, e Item total = soma dos preços dos produtos no carrinho.</t>
  </si>
  <si>
    <t xml:space="preserve">CT-CHK-006</t>
  </si>
  <si>
    <t xml:space="preserve">Concluir a compra</t>
  </si>
  <si>
    <t xml:space="preserve">1. Fazer o checkout com dados fictícios até ao resumo.
2. Clicar em Finish.</t>
  </si>
  <si>
    <t xml:space="preserve">Mostra "Thank you for your order!" e o carrinho fica vazio.</t>
  </si>
  <si>
    <t xml:space="preserve">CT-API-001</t>
  </si>
  <si>
    <t xml:space="preserve">Health check</t>
  </si>
  <si>
    <t xml:space="preserve">API acessível.</t>
  </si>
  <si>
    <t xml:space="preserve">1. GET /ping.</t>
  </si>
  <si>
    <t xml:space="preserve">Responde 201 Created (HealthCheck na documentação).</t>
  </si>
  <si>
    <t xml:space="preserve">GET /ping -&gt; 201 Created.</t>
  </si>
  <si>
    <t xml:space="preserve">CT-API-002</t>
  </si>
  <si>
    <t xml:space="preserve">Criar token com credenciais válidas</t>
  </si>
  <si>
    <t xml:space="preserve">admin (API)</t>
  </si>
  <si>
    <t xml:space="preserve">Credenciais de admin no .env.</t>
  </si>
  <si>
    <t xml:space="preserve">1. POST /auth com username e password de admin (JSON).</t>
  </si>
  <si>
    <t xml:space="preserve">Responde 200 com um campo "token" não vazio (CreateToken).</t>
  </si>
  <si>
    <t xml:space="preserve">POST /auth -&gt; 200 com token (15 caracteres; guardado como segredo da sessão, nunca mostrado).</t>
  </si>
  <si>
    <t xml:space="preserve">CT-API-003</t>
  </si>
  <si>
    <t xml:space="preserve">Criar reserva válida</t>
  </si>
  <si>
    <t xml:space="preserve">1. POST /booking com firstname QA-AUTO-…, lastname, totalprice, depositpaid, bookingdates e additionalneeds.</t>
  </si>
  <si>
    <t xml:space="preserve">Responde 200 com bookingid numérico e booking igual ao enviado (CreateBooking).</t>
  </si>
  <si>
    <t xml:space="preserve">POST /booking -&gt; 200, bookingid 2501, booking igual ao enviado.</t>
  </si>
  <si>
    <t xml:space="preserve">CT-API-004</t>
  </si>
  <si>
    <t xml:space="preserve">Ler a reserva criada</t>
  </si>
  <si>
    <t xml:space="preserve">Reserva de teste criada em CT-API-003 (firstname com prefixo QA-AUTO-).</t>
  </si>
  <si>
    <t xml:space="preserve">1. GET /booking/{id}.</t>
  </si>
  <si>
    <t xml:space="preserve">Responde 200 com os mesmos dados enviados na criação (GetBooking).</t>
  </si>
  <si>
    <t xml:space="preserve">GET /booking/2501 -&gt; 200, dados iguais aos enviados.</t>
  </si>
  <si>
    <t xml:space="preserve">CT-API-005</t>
  </si>
  <si>
    <t xml:space="preserve">Filtrar reservas por firstname</t>
  </si>
  <si>
    <t xml:space="preserve">1. GET /booking?firstname=&lt;firstname da reserva criada&gt;.</t>
  </si>
  <si>
    <t xml:space="preserve">Responde 200 com uma lista que contém o bookingid criado (GetBookingIds).</t>
  </si>
  <si>
    <t xml:space="preserve">GET /booking?firstname=QA-AUTO-20260924-api01 -&gt; 200, lista contém o bookingid 2501.</t>
  </si>
  <si>
    <t xml:space="preserve">CT-API-006</t>
  </si>
  <si>
    <t xml:space="preserve">Atualizar sem autenticação</t>
  </si>
  <si>
    <t xml:space="preserve">1. PUT /booking/{id} com dados novos, sem Cookie nem Authorization.
2. GET /booking/{id}.</t>
  </si>
  <si>
    <t xml:space="preserve">O pedido é recusado (4xx: a documentação exige token ou Basic no PUT) e a reserva fica igual.</t>
  </si>
  <si>
    <t xml:space="preserve">PUT sem autenticação -&gt; 403 Forbidden; GET seguinte igual ao original.</t>
  </si>
  <si>
    <t xml:space="preserve">CT-API-007</t>
  </si>
  <si>
    <t xml:space="preserve">Atualizar com token</t>
  </si>
  <si>
    <t xml:space="preserve">Reserva de teste criada em CT-API-003 (firstname com prefixo QA-AUTO-). Token de admin obtido com POST /auth (CT-API-002), guardado como segredo da sessão.</t>
  </si>
  <si>
    <t xml:space="preserve">1. PUT /booking/{id} com dados novos e Cookie: token=&lt;token&gt;.
2. GET /booking/{id}.</t>
  </si>
  <si>
    <t xml:space="preserve">Responde 200 com os dados novos, e o GET seguinte devolve-os (UpdateBooking).</t>
  </si>
  <si>
    <t xml:space="preserve">PUT com token -&gt; 200 com os dados novos; GET seguinte devolve-os.</t>
  </si>
  <si>
    <t xml:space="preserve">CT-API-008</t>
  </si>
  <si>
    <t xml:space="preserve">Atualização parcial com token</t>
  </si>
  <si>
    <t xml:space="preserve">1. PATCH /booking/{id} só com firstname novo e Cookie: token=&lt;token&gt;.
2. GET /booking/{id}.</t>
  </si>
  <si>
    <t xml:space="preserve">Responde 200; só o firstname muda, os outros campos ficam iguais (PartialUpdateBooking).</t>
  </si>
  <si>
    <t xml:space="preserve">PATCH firstname com token -&gt; 200; GET: só o firstname mudou.</t>
  </si>
  <si>
    <t xml:space="preserve">CT-API-009</t>
  </si>
  <si>
    <t xml:space="preserve">Criar reserva sem campos obrigatórios</t>
  </si>
  <si>
    <t xml:space="preserve">1. POST /booking com JSON só com lastname.</t>
  </si>
  <si>
    <t xml:space="preserve">Responde 4xx (erro do cliente), nunca 5xx. Fonte: a documentação é omissa sobre erros; RFC 9110 §15.5–15.6 (entrada inválida = 4xx).</t>
  </si>
  <si>
    <t xml:space="preserve">POST /booking só com lastname -&gt; 500 Internal Server Error (esperado 4xx).</t>
  </si>
  <si>
    <t xml:space="preserve">[2026-09-24, lote API 01] Defeito novo: BUG-1.</t>
  </si>
  <si>
    <t xml:space="preserve">CT-API-010</t>
  </si>
  <si>
    <t xml:space="preserve">Apagar a reserva com token</t>
  </si>
  <si>
    <t xml:space="preserve">1. DELETE /booking/{id} com Cookie: token=&lt;token&gt;.</t>
  </si>
  <si>
    <t xml:space="preserve">Responde 201 Created (DeleteBooking na documentação).</t>
  </si>
  <si>
    <t xml:space="preserve">DELETE /booking/2501 com token -&gt; 201 Created; GET seguinte -&gt; 404 (reserva de teste apagada).</t>
  </si>
  <si>
    <t xml:space="preserve">Descrição</t>
  </si>
  <si>
    <t xml:space="preserve">Caso</t>
  </si>
  <si>
    <t xml:space="preserve">Severidade</t>
  </si>
  <si>
    <t xml:space="preserve">Reportado por</t>
  </si>
  <si>
    <t xml:space="preserve">Data</t>
  </si>
  <si>
    <t xml:space="preserve">BUG-1</t>
  </si>
  <si>
    <t xml:space="preserve">POST /booking com campos obrigatórios em falta devolve 500</t>
  </si>
  <si>
    <t xml:space="preserve">Ambiente: API de prática restful-booker (api-teste). Role: nenhuma (sem autenticação).
Passos: POST /booking com o corpo JSON {"lastname": "SoApelido"} (sem firstname, totalprice, depositpaid, bookingdates).
Esperado: 4xx (erro do cliente). A documentação é omissa sobre erros; RFC 9110 §15.5–15.6: entrada inválida = 4xx.
Observado: 500 Internal Server Error, corpo "Internal Server Error" (555 ms, 24.09.2026 11:31).
Evidência redigida: runs/evidencia/CT-API-009.json.</t>
  </si>
  <si>
    <t xml:space="preserve">Aberto</t>
  </si>
  <si>
    <t xml:space="preserve">QA automatizado</t>
  </si>
  <si>
    <t xml:space="preserve">2026-09-24</t>
  </si>
  <si>
    <t xml:space="preserve">Defeitos ativos (regenerado pelo adaptador — não editar à mão)</t>
  </si>
  <si>
    <t xml:space="preserve">1 abertos (0 Crítica, 0 Alta, 1 Média, 0 Baixa) · 0 fechados · atualizado a 24.09.2026</t>
  </si>
  <si>
    <t xml:space="preserve">hash</t>
  </si>
  <si>
    <t xml:space="preserve">aplicado_em</t>
  </si>
  <si>
    <t xml:space="preserve">etiqueta</t>
  </si>
  <si>
    <t xml:space="preserve">itens</t>
  </si>
  <si>
    <t xml:space="preserve">defeitos_novos</t>
  </si>
  <si>
    <t xml:space="preserve">lote_id</t>
  </si>
  <si>
    <t xml:space="preserve">5f9fd024e81cc1eab582ca9bdf73b0251242bd3c4c4d7ef356262b1d5494e6f8</t>
  </si>
  <si>
    <t xml:space="preserve">2026-09-24T11:16:23</t>
  </si>
  <si>
    <t xml:space="preserve">[2026-09-24, lote API 01]</t>
  </si>
  <si>
    <t xml:space="preserve">lote_20260924_api01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</si>
</sst>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customFormat="false" ht="15" hidden="false" customHeight="false" outlineLevel="0" collapsed="false">
      <c r="A4" s="0" t="s">
        <v>9</v>
      </c>
      <c r="B4" s="0" t="n">
        <f aca="false">COUNTA(Login!A2:A200)</f>
        <v>7</v>
      </c>
      <c r="C4" s="0" t="n">
        <f aca="false">COUNTIF(Login!I2:I200,"Por testar")</f>
        <v>7</v>
      </c>
      <c r="D4" s="0" t="n">
        <f aca="false">COUNTIF(Login!I2:I200,"Pass")</f>
        <v>0</v>
      </c>
      <c r="E4" s="0" t="n">
        <f aca="false">COUNTIF(Login!I2:I200,"Fail")</f>
        <v>0</v>
      </c>
      <c r="F4" s="0" t="n">
        <f aca="false">COUNTIF(Login!I2:I200,"Blocked")</f>
        <v>0</v>
      </c>
      <c r="G4" s="0" t="n">
        <f aca="false">COUNTIF(Login!I2:I200,"N/A")</f>
        <v>0</v>
      </c>
      <c r="H4" s="3" t="n">
        <f aca="false">IFERROR((B4-C4)/B4,0)</f>
        <v>0</v>
      </c>
    </row>
    <row r="5" customFormat="false" ht="15" hidden="false" customHeight="false" outlineLevel="0" collapsed="false">
      <c r="A5" s="0" t="s">
        <v>10</v>
      </c>
      <c r="B5" s="0" t="n">
        <f aca="false">COUNTA(Produtos!A2:A200)</f>
        <v>5</v>
      </c>
      <c r="C5" s="0" t="n">
        <f aca="false">COUNTIF(Produtos!I2:I200,"Por testar")</f>
        <v>5</v>
      </c>
      <c r="D5" s="0" t="n">
        <f aca="false">COUNTIF(Produtos!I2:I200,"Pass")</f>
        <v>0</v>
      </c>
      <c r="E5" s="0" t="n">
        <f aca="false">COUNTIF(Produtos!I2:I200,"Fail")</f>
        <v>0</v>
      </c>
      <c r="F5" s="0" t="n">
        <f aca="false">COUNTIF(Produtos!I2:I200,"Blocked")</f>
        <v>0</v>
      </c>
      <c r="G5" s="0" t="n">
        <f aca="false">COUNTIF(Produtos!I2:I200,"N/A")</f>
        <v>0</v>
      </c>
      <c r="H5" s="3" t="n">
        <f aca="false">IFERROR((B5-C5)/B5,0)</f>
        <v>0</v>
      </c>
    </row>
    <row r="6" customFormat="false" ht="15" hidden="false" customHeight="false" outlineLevel="0" collapsed="false">
      <c r="A6" s="0" t="s">
        <v>11</v>
      </c>
      <c r="B6" s="0" t="n">
        <f aca="false">COUNTA(Checkout!A2:A200)</f>
        <v>6</v>
      </c>
      <c r="C6" s="0" t="n">
        <f aca="false">COUNTIF(Checkout!I2:I200,"Por testar")</f>
        <v>6</v>
      </c>
      <c r="D6" s="0" t="n">
        <f aca="false">COUNTIF(Checkout!I2:I200,"Pass")</f>
        <v>0</v>
      </c>
      <c r="E6" s="0" t="n">
        <f aca="false">COUNTIF(Checkout!I2:I200,"Fail")</f>
        <v>0</v>
      </c>
      <c r="F6" s="0" t="n">
        <f aca="false">COUNTIF(Checkout!I2:I200,"Blocked")</f>
        <v>0</v>
      </c>
      <c r="G6" s="0" t="n">
        <f aca="false">COUNTIF(Checkout!I2:I200,"N/A")</f>
        <v>0</v>
      </c>
      <c r="H6" s="3" t="n">
        <f aca="false">IFERROR((B6-C6)/B6,0)</f>
        <v>0</v>
      </c>
    </row>
    <row r="7" customFormat="false" ht="15" hidden="false" customHeight="false" outlineLevel="0" collapsed="false">
      <c r="A7" s="0" t="s">
        <v>12</v>
      </c>
      <c r="B7" s="0" t="n">
        <f aca="false">COUNTA(API!A2:A200)</f>
        <v>10</v>
      </c>
      <c r="C7" s="0" t="n">
        <f aca="false">COUNTIF(API!I2:I200,"Por testar")</f>
        <v>0</v>
      </c>
      <c r="D7" s="0" t="n">
        <f aca="false">COUNTIF(API!I2:I200,"Pass")</f>
        <v>9</v>
      </c>
      <c r="E7" s="0" t="n">
        <f aca="false">COUNTIF(API!I2:I200,"Fail")</f>
        <v>1</v>
      </c>
      <c r="F7" s="0" t="n">
        <f aca="false">COUNTIF(API!I2:I200,"Blocked")</f>
        <v>0</v>
      </c>
      <c r="G7" s="0" t="n">
        <f aca="false">COUNTIF(API!I2:I200,"N/A")</f>
        <v>0</v>
      </c>
      <c r="H7" s="3" t="n">
        <f aca="false">IFERROR((B7-C7)/B7,0)</f>
        <v>1</v>
      </c>
    </row>
    <row r="8" customFormat="false" ht="15" hidden="false" customHeight="false" outlineLevel="0" collapsed="false">
      <c r="A8" s="4" t="s">
        <v>2</v>
      </c>
      <c r="B8" s="0" t="n">
        <f aca="false">SUM(B4:B7)</f>
        <v>28</v>
      </c>
      <c r="C8" s="0" t="n">
        <f aca="false">SUM(C4:C7)</f>
        <v>18</v>
      </c>
      <c r="D8" s="0" t="n">
        <f aca="false">SUM(D4:D7)</f>
        <v>9</v>
      </c>
      <c r="E8" s="0" t="n">
        <f aca="false">SUM(E4:E7)</f>
        <v>1</v>
      </c>
      <c r="F8" s="0" t="n">
        <f aca="false">SUM(F4:F7)</f>
        <v>0</v>
      </c>
      <c r="G8" s="0" t="n">
        <f aca="false">SUM(G4:G7)</f>
        <v>0</v>
      </c>
      <c r="H8" s="3" t="n">
        <f aca="false">IFERROR((B8-C8)/B8,0)</f>
        <v>0.357142857142857</v>
      </c>
    </row>
    <row r="10" customFormat="false" ht="15" hidden="false" customHeight="false" outlineLevel="0" collapsed="false">
      <c r="A10" s="0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30"/>
    <col collapsed="false" customWidth="true" hidden="false" outlineLevel="0" max="8" min="7" style="0" width="45"/>
    <col collapsed="false" customWidth="true" hidden="false" outlineLevel="0" max="9" min="9" style="0" width="12"/>
    <col collapsed="false" customWidth="true" hidden="false" outlineLevel="0" max="11" min="10" style="0" width="35"/>
  </cols>
  <sheetData>
    <row r="1" customFormat="false" ht="15" hidden="false" customHeight="false" outlineLevel="0" collapsed="false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</row>
    <row r="2" customFormat="false" ht="35.05" hidden="false" customHeight="false" outlineLevel="0" collapsed="false">
      <c r="A2" s="5" t="s">
        <v>25</v>
      </c>
      <c r="B2" s="5" t="s">
        <v>26</v>
      </c>
      <c r="C2" s="5" t="s">
        <v>27</v>
      </c>
      <c r="D2" s="5" t="s">
        <v>28</v>
      </c>
      <c r="E2" s="5" t="s">
        <v>29</v>
      </c>
      <c r="F2" s="5" t="s">
        <v>30</v>
      </c>
      <c r="G2" s="5" t="s">
        <v>31</v>
      </c>
      <c r="H2" s="5" t="s">
        <v>32</v>
      </c>
      <c r="I2" s="5" t="s">
        <v>3</v>
      </c>
      <c r="J2" s="5"/>
      <c r="K2" s="5"/>
    </row>
    <row r="3" customFormat="false" ht="35.05" hidden="false" customHeight="false" outlineLevel="0" collapsed="false">
      <c r="A3" s="5" t="s">
        <v>33</v>
      </c>
      <c r="B3" s="5" t="s">
        <v>34</v>
      </c>
      <c r="C3" s="5" t="s">
        <v>35</v>
      </c>
      <c r="D3" s="5" t="s">
        <v>36</v>
      </c>
      <c r="E3" s="5" t="s">
        <v>29</v>
      </c>
      <c r="F3" s="5" t="s">
        <v>30</v>
      </c>
      <c r="G3" s="5" t="s">
        <v>31</v>
      </c>
      <c r="H3" s="5" t="s">
        <v>37</v>
      </c>
      <c r="I3" s="5" t="s">
        <v>3</v>
      </c>
      <c r="J3" s="5"/>
      <c r="K3" s="5"/>
    </row>
    <row r="4" customFormat="false" ht="23.85" hidden="false" customHeight="false" outlineLevel="0" collapsed="false">
      <c r="A4" s="5" t="s">
        <v>38</v>
      </c>
      <c r="B4" s="5" t="s">
        <v>39</v>
      </c>
      <c r="C4" s="5" t="s">
        <v>40</v>
      </c>
      <c r="D4" s="5" t="s">
        <v>28</v>
      </c>
      <c r="E4" s="5" t="s">
        <v>41</v>
      </c>
      <c r="F4" s="5" t="s">
        <v>30</v>
      </c>
      <c r="G4" s="5" t="s">
        <v>42</v>
      </c>
      <c r="H4" s="5" t="s">
        <v>43</v>
      </c>
      <c r="I4" s="5" t="s">
        <v>3</v>
      </c>
      <c r="J4" s="5"/>
      <c r="K4" s="5"/>
    </row>
    <row r="5" customFormat="false" ht="35.05" hidden="false" customHeight="false" outlineLevel="0" collapsed="false">
      <c r="A5" s="5" t="s">
        <v>44</v>
      </c>
      <c r="B5" s="5" t="s">
        <v>45</v>
      </c>
      <c r="C5" s="5" t="s">
        <v>27</v>
      </c>
      <c r="D5" s="5" t="s">
        <v>28</v>
      </c>
      <c r="E5" s="5" t="s">
        <v>41</v>
      </c>
      <c r="F5" s="5" t="s">
        <v>30</v>
      </c>
      <c r="G5" s="5" t="s">
        <v>46</v>
      </c>
      <c r="H5" s="5" t="s">
        <v>47</v>
      </c>
      <c r="I5" s="5" t="s">
        <v>3</v>
      </c>
      <c r="J5" s="5"/>
      <c r="K5" s="5"/>
    </row>
    <row r="6" customFormat="false" ht="35.05" hidden="false" customHeight="false" outlineLevel="0" collapsed="false">
      <c r="A6" s="5" t="s">
        <v>48</v>
      </c>
      <c r="B6" s="5" t="s">
        <v>49</v>
      </c>
      <c r="C6" s="5" t="s">
        <v>27</v>
      </c>
      <c r="D6" s="5" t="s">
        <v>28</v>
      </c>
      <c r="E6" s="5" t="s">
        <v>41</v>
      </c>
      <c r="F6" s="5" t="s">
        <v>30</v>
      </c>
      <c r="G6" s="5" t="s">
        <v>50</v>
      </c>
      <c r="H6" s="5" t="s">
        <v>51</v>
      </c>
      <c r="I6" s="5" t="s">
        <v>3</v>
      </c>
      <c r="J6" s="5"/>
      <c r="K6" s="5"/>
    </row>
    <row r="7" customFormat="false" ht="35.05" hidden="false" customHeight="false" outlineLevel="0" collapsed="false">
      <c r="A7" s="5" t="s">
        <v>52</v>
      </c>
      <c r="B7" s="5" t="s">
        <v>53</v>
      </c>
      <c r="C7" s="5" t="s">
        <v>40</v>
      </c>
      <c r="D7" s="5" t="s">
        <v>54</v>
      </c>
      <c r="E7" s="5" t="s">
        <v>29</v>
      </c>
      <c r="F7" s="5" t="s">
        <v>55</v>
      </c>
      <c r="G7" s="5" t="s">
        <v>56</v>
      </c>
      <c r="H7" s="5" t="s">
        <v>57</v>
      </c>
      <c r="I7" s="5" t="s">
        <v>3</v>
      </c>
      <c r="J7" s="5"/>
      <c r="K7" s="5"/>
    </row>
    <row r="8" customFormat="false" ht="35.05" hidden="false" customHeight="false" outlineLevel="0" collapsed="false">
      <c r="A8" s="5" t="s">
        <v>58</v>
      </c>
      <c r="B8" s="5" t="s">
        <v>59</v>
      </c>
      <c r="C8" s="5" t="s">
        <v>27</v>
      </c>
      <c r="D8" s="5" t="s">
        <v>60</v>
      </c>
      <c r="E8" s="5" t="s">
        <v>41</v>
      </c>
      <c r="F8" s="5" t="s">
        <v>61</v>
      </c>
      <c r="G8" s="5" t="s">
        <v>62</v>
      </c>
      <c r="H8" s="5" t="s">
        <v>63</v>
      </c>
      <c r="I8" s="5" t="s">
        <v>3</v>
      </c>
      <c r="J8" s="5"/>
      <c r="K8" s="5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30"/>
    <col collapsed="false" customWidth="true" hidden="false" outlineLevel="0" max="8" min="7" style="0" width="45"/>
    <col collapsed="false" customWidth="true" hidden="false" outlineLevel="0" max="9" min="9" style="0" width="12"/>
    <col collapsed="false" customWidth="true" hidden="false" outlineLevel="0" max="11" min="10" style="0" width="35"/>
  </cols>
  <sheetData>
    <row r="1" customFormat="false" ht="15" hidden="false" customHeight="false" outlineLevel="0" collapsed="false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</row>
    <row r="2" customFormat="false" ht="35.05" hidden="false" customHeight="false" outlineLevel="0" collapsed="false">
      <c r="A2" s="5" t="s">
        <v>64</v>
      </c>
      <c r="B2" s="5" t="s">
        <v>65</v>
      </c>
      <c r="C2" s="5" t="s">
        <v>27</v>
      </c>
      <c r="D2" s="5" t="s">
        <v>28</v>
      </c>
      <c r="E2" s="5" t="s">
        <v>29</v>
      </c>
      <c r="F2" s="5" t="s">
        <v>61</v>
      </c>
      <c r="G2" s="5" t="s">
        <v>66</v>
      </c>
      <c r="H2" s="5" t="s">
        <v>67</v>
      </c>
      <c r="I2" s="5" t="s">
        <v>3</v>
      </c>
      <c r="J2" s="5"/>
      <c r="K2" s="5"/>
    </row>
    <row r="3" customFormat="false" ht="35.05" hidden="false" customHeight="false" outlineLevel="0" collapsed="false">
      <c r="A3" s="5" t="s">
        <v>68</v>
      </c>
      <c r="B3" s="5" t="s">
        <v>69</v>
      </c>
      <c r="C3" s="5" t="s">
        <v>27</v>
      </c>
      <c r="D3" s="5" t="s">
        <v>28</v>
      </c>
      <c r="E3" s="5" t="s">
        <v>41</v>
      </c>
      <c r="F3" s="5" t="s">
        <v>61</v>
      </c>
      <c r="G3" s="5" t="s">
        <v>70</v>
      </c>
      <c r="H3" s="5" t="s">
        <v>71</v>
      </c>
      <c r="I3" s="5" t="s">
        <v>3</v>
      </c>
      <c r="J3" s="5"/>
      <c r="K3" s="5"/>
    </row>
    <row r="4" customFormat="false" ht="35.05" hidden="false" customHeight="false" outlineLevel="0" collapsed="false">
      <c r="A4" s="5" t="s">
        <v>72</v>
      </c>
      <c r="B4" s="5" t="s">
        <v>73</v>
      </c>
      <c r="C4" s="5" t="s">
        <v>27</v>
      </c>
      <c r="D4" s="5" t="s">
        <v>28</v>
      </c>
      <c r="E4" s="5" t="s">
        <v>74</v>
      </c>
      <c r="F4" s="5" t="s">
        <v>61</v>
      </c>
      <c r="G4" s="5" t="s">
        <v>75</v>
      </c>
      <c r="H4" s="5" t="s">
        <v>76</v>
      </c>
      <c r="I4" s="5" t="s">
        <v>3</v>
      </c>
      <c r="J4" s="5"/>
      <c r="K4" s="5"/>
    </row>
    <row r="5" customFormat="false" ht="35.05" hidden="false" customHeight="false" outlineLevel="0" collapsed="false">
      <c r="A5" s="5" t="s">
        <v>77</v>
      </c>
      <c r="B5" s="5" t="s">
        <v>78</v>
      </c>
      <c r="C5" s="5" t="s">
        <v>27</v>
      </c>
      <c r="D5" s="5" t="s">
        <v>28</v>
      </c>
      <c r="E5" s="5" t="s">
        <v>41</v>
      </c>
      <c r="F5" s="5" t="s">
        <v>61</v>
      </c>
      <c r="G5" s="5" t="s">
        <v>79</v>
      </c>
      <c r="H5" s="5" t="s">
        <v>80</v>
      </c>
      <c r="I5" s="5" t="s">
        <v>3</v>
      </c>
      <c r="J5" s="5"/>
      <c r="K5" s="5"/>
    </row>
    <row r="6" customFormat="false" ht="35.05" hidden="false" customHeight="false" outlineLevel="0" collapsed="false">
      <c r="A6" s="5" t="s">
        <v>81</v>
      </c>
      <c r="B6" s="5" t="s">
        <v>82</v>
      </c>
      <c r="C6" s="5" t="s">
        <v>83</v>
      </c>
      <c r="D6" s="5" t="s">
        <v>36</v>
      </c>
      <c r="E6" s="5" t="s">
        <v>41</v>
      </c>
      <c r="F6" s="5" t="s">
        <v>61</v>
      </c>
      <c r="G6" s="5" t="s">
        <v>84</v>
      </c>
      <c r="H6" s="5" t="s">
        <v>85</v>
      </c>
      <c r="I6" s="5" t="s">
        <v>3</v>
      </c>
      <c r="J6" s="5"/>
      <c r="K6" s="5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30"/>
    <col collapsed="false" customWidth="true" hidden="false" outlineLevel="0" max="8" min="7" style="0" width="45"/>
    <col collapsed="false" customWidth="true" hidden="false" outlineLevel="0" max="9" min="9" style="0" width="12"/>
    <col collapsed="false" customWidth="true" hidden="false" outlineLevel="0" max="11" min="10" style="0" width="35"/>
  </cols>
  <sheetData>
    <row r="1" customFormat="false" ht="15" hidden="false" customHeight="false" outlineLevel="0" collapsed="false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</row>
    <row r="2" customFormat="false" ht="35.05" hidden="false" customHeight="false" outlineLevel="0" collapsed="false">
      <c r="A2" s="5" t="s">
        <v>86</v>
      </c>
      <c r="B2" s="5" t="s">
        <v>87</v>
      </c>
      <c r="C2" s="5" t="s">
        <v>27</v>
      </c>
      <c r="D2" s="5" t="s">
        <v>60</v>
      </c>
      <c r="E2" s="5" t="s">
        <v>29</v>
      </c>
      <c r="F2" s="5" t="s">
        <v>61</v>
      </c>
      <c r="G2" s="5" t="s">
        <v>88</v>
      </c>
      <c r="H2" s="5" t="s">
        <v>89</v>
      </c>
      <c r="I2" s="5" t="s">
        <v>3</v>
      </c>
      <c r="J2" s="5"/>
      <c r="K2" s="5"/>
    </row>
    <row r="3" customFormat="false" ht="46.25" hidden="false" customHeight="false" outlineLevel="0" collapsed="false">
      <c r="A3" s="5" t="s">
        <v>90</v>
      </c>
      <c r="B3" s="5" t="s">
        <v>91</v>
      </c>
      <c r="C3" s="5" t="s">
        <v>27</v>
      </c>
      <c r="D3" s="5" t="s">
        <v>60</v>
      </c>
      <c r="E3" s="5" t="s">
        <v>41</v>
      </c>
      <c r="F3" s="5" t="s">
        <v>92</v>
      </c>
      <c r="G3" s="5" t="s">
        <v>93</v>
      </c>
      <c r="H3" s="5" t="s">
        <v>94</v>
      </c>
      <c r="I3" s="5" t="s">
        <v>3</v>
      </c>
      <c r="J3" s="5"/>
      <c r="K3" s="5"/>
    </row>
    <row r="4" customFormat="false" ht="46.25" hidden="false" customHeight="false" outlineLevel="0" collapsed="false">
      <c r="A4" s="5" t="s">
        <v>95</v>
      </c>
      <c r="B4" s="5" t="s">
        <v>96</v>
      </c>
      <c r="C4" s="5" t="s">
        <v>27</v>
      </c>
      <c r="D4" s="5" t="s">
        <v>28</v>
      </c>
      <c r="E4" s="5" t="s">
        <v>41</v>
      </c>
      <c r="F4" s="5" t="s">
        <v>92</v>
      </c>
      <c r="G4" s="5" t="s">
        <v>97</v>
      </c>
      <c r="H4" s="5" t="s">
        <v>98</v>
      </c>
      <c r="I4" s="5" t="s">
        <v>3</v>
      </c>
      <c r="J4" s="5"/>
      <c r="K4" s="5"/>
    </row>
    <row r="5" customFormat="false" ht="46.25" hidden="false" customHeight="false" outlineLevel="0" collapsed="false">
      <c r="A5" s="5" t="s">
        <v>99</v>
      </c>
      <c r="B5" s="5" t="s">
        <v>100</v>
      </c>
      <c r="C5" s="5" t="s">
        <v>27</v>
      </c>
      <c r="D5" s="5" t="s">
        <v>28</v>
      </c>
      <c r="E5" s="5" t="s">
        <v>41</v>
      </c>
      <c r="F5" s="5" t="s">
        <v>92</v>
      </c>
      <c r="G5" s="5" t="s">
        <v>101</v>
      </c>
      <c r="H5" s="5" t="s">
        <v>102</v>
      </c>
      <c r="I5" s="5" t="s">
        <v>3</v>
      </c>
      <c r="J5" s="5"/>
      <c r="K5" s="5"/>
    </row>
    <row r="6" customFormat="false" ht="46.25" hidden="false" customHeight="false" outlineLevel="0" collapsed="false">
      <c r="A6" s="5" t="s">
        <v>103</v>
      </c>
      <c r="B6" s="5" t="s">
        <v>104</v>
      </c>
      <c r="C6" s="5" t="s">
        <v>27</v>
      </c>
      <c r="D6" s="5" t="s">
        <v>105</v>
      </c>
      <c r="E6" s="5" t="s">
        <v>29</v>
      </c>
      <c r="F6" s="5" t="s">
        <v>106</v>
      </c>
      <c r="G6" s="5" t="s">
        <v>107</v>
      </c>
      <c r="H6" s="5" t="s">
        <v>108</v>
      </c>
      <c r="I6" s="5" t="s">
        <v>3</v>
      </c>
      <c r="J6" s="5"/>
      <c r="K6" s="5"/>
    </row>
    <row r="7" customFormat="false" ht="46.25" hidden="false" customHeight="false" outlineLevel="0" collapsed="false">
      <c r="A7" s="5" t="s">
        <v>109</v>
      </c>
      <c r="B7" s="5" t="s">
        <v>110</v>
      </c>
      <c r="C7" s="5" t="s">
        <v>27</v>
      </c>
      <c r="D7" s="5" t="s">
        <v>60</v>
      </c>
      <c r="E7" s="5" t="s">
        <v>29</v>
      </c>
      <c r="F7" s="5" t="s">
        <v>92</v>
      </c>
      <c r="G7" s="5" t="s">
        <v>111</v>
      </c>
      <c r="H7" s="5" t="s">
        <v>112</v>
      </c>
      <c r="I7" s="5" t="s">
        <v>3</v>
      </c>
      <c r="J7" s="5"/>
      <c r="K7" s="5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30"/>
    <col collapsed="false" customWidth="true" hidden="false" outlineLevel="0" max="8" min="7" style="0" width="45"/>
    <col collapsed="false" customWidth="true" hidden="false" outlineLevel="0" max="9" min="9" style="0" width="12"/>
    <col collapsed="false" customWidth="true" hidden="false" outlineLevel="0" max="11" min="10" style="0" width="35"/>
  </cols>
  <sheetData>
    <row r="1" customFormat="false" ht="15" hidden="false" customHeight="false" outlineLevel="0" collapsed="false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</row>
    <row r="2" customFormat="false" ht="23.85" hidden="false" customHeight="false" outlineLevel="0" collapsed="false">
      <c r="A2" s="5" t="s">
        <v>113</v>
      </c>
      <c r="B2" s="5" t="s">
        <v>114</v>
      </c>
      <c r="C2" s="5" t="s">
        <v>40</v>
      </c>
      <c r="D2" s="5" t="s">
        <v>28</v>
      </c>
      <c r="E2" s="5" t="s">
        <v>29</v>
      </c>
      <c r="F2" s="5" t="s">
        <v>115</v>
      </c>
      <c r="G2" s="5" t="s">
        <v>116</v>
      </c>
      <c r="H2" s="5" t="s">
        <v>117</v>
      </c>
      <c r="I2" s="5" t="s">
        <v>4</v>
      </c>
      <c r="J2" s="5" t="s">
        <v>118</v>
      </c>
      <c r="K2" s="5"/>
    </row>
    <row r="3" customFormat="false" ht="35.05" hidden="false" customHeight="false" outlineLevel="0" collapsed="false">
      <c r="A3" s="5" t="s">
        <v>119</v>
      </c>
      <c r="B3" s="5" t="s">
        <v>120</v>
      </c>
      <c r="C3" s="5" t="s">
        <v>121</v>
      </c>
      <c r="D3" s="5" t="s">
        <v>28</v>
      </c>
      <c r="E3" s="5" t="s">
        <v>29</v>
      </c>
      <c r="F3" s="5" t="s">
        <v>122</v>
      </c>
      <c r="G3" s="5" t="s">
        <v>123</v>
      </c>
      <c r="H3" s="5" t="s">
        <v>124</v>
      </c>
      <c r="I3" s="5" t="s">
        <v>4</v>
      </c>
      <c r="J3" s="5" t="s">
        <v>125</v>
      </c>
      <c r="K3" s="5"/>
    </row>
    <row r="4" customFormat="false" ht="35.05" hidden="false" customHeight="false" outlineLevel="0" collapsed="false">
      <c r="A4" s="5" t="s">
        <v>126</v>
      </c>
      <c r="B4" s="5" t="s">
        <v>127</v>
      </c>
      <c r="C4" s="5" t="s">
        <v>40</v>
      </c>
      <c r="D4" s="5" t="s">
        <v>28</v>
      </c>
      <c r="E4" s="5" t="s">
        <v>29</v>
      </c>
      <c r="F4" s="5" t="s">
        <v>115</v>
      </c>
      <c r="G4" s="5" t="s">
        <v>128</v>
      </c>
      <c r="H4" s="5" t="s">
        <v>129</v>
      </c>
      <c r="I4" s="5" t="s">
        <v>4</v>
      </c>
      <c r="J4" s="5" t="s">
        <v>130</v>
      </c>
      <c r="K4" s="5"/>
    </row>
    <row r="5" customFormat="false" ht="35.05" hidden="false" customHeight="false" outlineLevel="0" collapsed="false">
      <c r="A5" s="5" t="s">
        <v>131</v>
      </c>
      <c r="B5" s="5" t="s">
        <v>132</v>
      </c>
      <c r="C5" s="5" t="s">
        <v>40</v>
      </c>
      <c r="D5" s="5" t="s">
        <v>60</v>
      </c>
      <c r="E5" s="5" t="s">
        <v>29</v>
      </c>
      <c r="F5" s="5" t="s">
        <v>133</v>
      </c>
      <c r="G5" s="5" t="s">
        <v>134</v>
      </c>
      <c r="H5" s="5" t="s">
        <v>135</v>
      </c>
      <c r="I5" s="5" t="s">
        <v>4</v>
      </c>
      <c r="J5" s="5" t="s">
        <v>136</v>
      </c>
      <c r="K5" s="5"/>
    </row>
    <row r="6" customFormat="false" ht="35.05" hidden="false" customHeight="false" outlineLevel="0" collapsed="false">
      <c r="A6" s="5" t="s">
        <v>137</v>
      </c>
      <c r="B6" s="5" t="s">
        <v>138</v>
      </c>
      <c r="C6" s="5" t="s">
        <v>40</v>
      </c>
      <c r="D6" s="5" t="s">
        <v>28</v>
      </c>
      <c r="E6" s="5" t="s">
        <v>41</v>
      </c>
      <c r="F6" s="5" t="s">
        <v>133</v>
      </c>
      <c r="G6" s="5" t="s">
        <v>139</v>
      </c>
      <c r="H6" s="5" t="s">
        <v>140</v>
      </c>
      <c r="I6" s="5" t="s">
        <v>4</v>
      </c>
      <c r="J6" s="5" t="s">
        <v>141</v>
      </c>
      <c r="K6" s="5"/>
    </row>
    <row r="7" customFormat="false" ht="35.05" hidden="false" customHeight="false" outlineLevel="0" collapsed="false">
      <c r="A7" s="5" t="s">
        <v>142</v>
      </c>
      <c r="B7" s="5" t="s">
        <v>143</v>
      </c>
      <c r="C7" s="5" t="s">
        <v>40</v>
      </c>
      <c r="D7" s="5" t="s">
        <v>36</v>
      </c>
      <c r="E7" s="5" t="s">
        <v>29</v>
      </c>
      <c r="F7" s="5" t="s">
        <v>133</v>
      </c>
      <c r="G7" s="5" t="s">
        <v>144</v>
      </c>
      <c r="H7" s="5" t="s">
        <v>145</v>
      </c>
      <c r="I7" s="5" t="s">
        <v>4</v>
      </c>
      <c r="J7" s="5" t="s">
        <v>146</v>
      </c>
      <c r="K7" s="5"/>
    </row>
    <row r="8" customFormat="false" ht="68.65" hidden="false" customHeight="false" outlineLevel="0" collapsed="false">
      <c r="A8" s="5" t="s">
        <v>147</v>
      </c>
      <c r="B8" s="5" t="s">
        <v>148</v>
      </c>
      <c r="C8" s="5" t="s">
        <v>121</v>
      </c>
      <c r="D8" s="5" t="s">
        <v>60</v>
      </c>
      <c r="E8" s="5" t="s">
        <v>29</v>
      </c>
      <c r="F8" s="5" t="s">
        <v>149</v>
      </c>
      <c r="G8" s="5" t="s">
        <v>150</v>
      </c>
      <c r="H8" s="5" t="s">
        <v>151</v>
      </c>
      <c r="I8" s="5" t="s">
        <v>4</v>
      </c>
      <c r="J8" s="5" t="s">
        <v>152</v>
      </c>
      <c r="K8" s="5"/>
    </row>
    <row r="9" customFormat="false" ht="68.65" hidden="false" customHeight="false" outlineLevel="0" collapsed="false">
      <c r="A9" s="5" t="s">
        <v>153</v>
      </c>
      <c r="B9" s="5" t="s">
        <v>154</v>
      </c>
      <c r="C9" s="5" t="s">
        <v>121</v>
      </c>
      <c r="D9" s="5" t="s">
        <v>28</v>
      </c>
      <c r="E9" s="5" t="s">
        <v>41</v>
      </c>
      <c r="F9" s="5" t="s">
        <v>149</v>
      </c>
      <c r="G9" s="5" t="s">
        <v>155</v>
      </c>
      <c r="H9" s="5" t="s">
        <v>156</v>
      </c>
      <c r="I9" s="5" t="s">
        <v>4</v>
      </c>
      <c r="J9" s="5" t="s">
        <v>157</v>
      </c>
      <c r="K9" s="5"/>
    </row>
    <row r="10" customFormat="false" ht="35.05" hidden="false" customHeight="false" outlineLevel="0" collapsed="false">
      <c r="A10" s="5" t="s">
        <v>158</v>
      </c>
      <c r="B10" s="5" t="s">
        <v>159</v>
      </c>
      <c r="C10" s="5" t="s">
        <v>40</v>
      </c>
      <c r="D10" s="5" t="s">
        <v>28</v>
      </c>
      <c r="E10" s="5" t="s">
        <v>41</v>
      </c>
      <c r="F10" s="5" t="s">
        <v>115</v>
      </c>
      <c r="G10" s="5" t="s">
        <v>160</v>
      </c>
      <c r="H10" s="5" t="s">
        <v>161</v>
      </c>
      <c r="I10" s="5" t="s">
        <v>5</v>
      </c>
      <c r="J10" s="5" t="s">
        <v>162</v>
      </c>
      <c r="K10" s="5" t="s">
        <v>163</v>
      </c>
    </row>
    <row r="11" customFormat="false" ht="68.65" hidden="false" customHeight="false" outlineLevel="0" collapsed="false">
      <c r="A11" s="5" t="s">
        <v>164</v>
      </c>
      <c r="B11" s="5" t="s">
        <v>165</v>
      </c>
      <c r="C11" s="5" t="s">
        <v>121</v>
      </c>
      <c r="D11" s="5" t="s">
        <v>60</v>
      </c>
      <c r="E11" s="5" t="s">
        <v>41</v>
      </c>
      <c r="F11" s="5" t="s">
        <v>149</v>
      </c>
      <c r="G11" s="5" t="s">
        <v>166</v>
      </c>
      <c r="H11" s="5" t="s">
        <v>167</v>
      </c>
      <c r="I11" s="5" t="s">
        <v>4</v>
      </c>
      <c r="J11" s="5" t="s">
        <v>168</v>
      </c>
      <c r="K11" s="5"/>
    </row>
  </sheetData>
  <dataValidations count="1">
    <dataValidation allowBlank="false" errorStyle="stop" operator="between" showDropDown="false" showErrorMessage="false" showInputMessage="false" sqref="I2:I200" type="list">
      <formula1>"Por testar,Pass,Fail,Blocked,N/A"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2" t="s">
        <v>14</v>
      </c>
      <c r="B1" s="2" t="s">
        <v>15</v>
      </c>
      <c r="C1" s="2" t="s">
        <v>169</v>
      </c>
      <c r="D1" s="2" t="s">
        <v>1</v>
      </c>
      <c r="E1" s="2" t="s">
        <v>170</v>
      </c>
      <c r="F1" s="2" t="s">
        <v>16</v>
      </c>
      <c r="G1" s="2" t="s">
        <v>171</v>
      </c>
      <c r="H1" s="2" t="s">
        <v>18</v>
      </c>
      <c r="I1" s="2" t="s">
        <v>22</v>
      </c>
      <c r="J1" s="2" t="s">
        <v>172</v>
      </c>
      <c r="K1" s="2" t="s">
        <v>173</v>
      </c>
    </row>
    <row r="2" customFormat="false" ht="57.45" hidden="false" customHeight="false" outlineLevel="0" collapsed="false">
      <c r="A2" s="0" t="s">
        <v>174</v>
      </c>
      <c r="B2" s="0" t="s">
        <v>175</v>
      </c>
      <c r="C2" s="6" t="s">
        <v>176</v>
      </c>
      <c r="D2" s="0" t="s">
        <v>12</v>
      </c>
      <c r="E2" s="0" t="s">
        <v>158</v>
      </c>
      <c r="F2" s="0" t="s">
        <v>40</v>
      </c>
      <c r="G2" s="0" t="s">
        <v>41</v>
      </c>
      <c r="H2" s="0" t="s">
        <v>41</v>
      </c>
      <c r="I2" s="0" t="s">
        <v>177</v>
      </c>
      <c r="J2" s="0" t="s">
        <v>178</v>
      </c>
      <c r="K2" s="0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4" t="s">
        <v>180</v>
      </c>
    </row>
    <row r="2" customFormat="false" ht="15" hidden="false" customHeight="false" outlineLevel="0" collapsed="false">
      <c r="A2" s="0" t="s">
        <v>181</v>
      </c>
    </row>
    <row r="3" customFormat="false" ht="15" hidden="false" customHeight="false" outlineLevel="0" collapsed="false">
      <c r="A3" s="2" t="s">
        <v>14</v>
      </c>
      <c r="B3" s="2" t="s">
        <v>18</v>
      </c>
      <c r="C3" s="2" t="s">
        <v>171</v>
      </c>
      <c r="D3" s="2" t="s">
        <v>22</v>
      </c>
      <c r="E3" s="2" t="s">
        <v>1</v>
      </c>
      <c r="F3" s="2" t="s">
        <v>15</v>
      </c>
      <c r="G3" s="2" t="s">
        <v>170</v>
      </c>
      <c r="H3" s="2" t="s">
        <v>16</v>
      </c>
    </row>
    <row r="4" customFormat="false" ht="15" hidden="false" customHeight="false" outlineLevel="0" collapsed="false">
      <c r="A4" s="0" t="s">
        <v>174</v>
      </c>
      <c r="B4" s="0" t="s">
        <v>41</v>
      </c>
      <c r="C4" s="0" t="s">
        <v>41</v>
      </c>
      <c r="D4" s="0" t="s">
        <v>177</v>
      </c>
      <c r="E4" s="0" t="s">
        <v>12</v>
      </c>
      <c r="F4" s="0" t="s">
        <v>175</v>
      </c>
      <c r="G4" s="0" t="s">
        <v>158</v>
      </c>
      <c r="H4" s="0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182</v>
      </c>
      <c r="B1" s="0" t="s">
        <v>183</v>
      </c>
      <c r="C1" s="0" t="s">
        <v>184</v>
      </c>
      <c r="D1" s="0" t="s">
        <v>185</v>
      </c>
      <c r="E1" s="0" t="s">
        <v>186</v>
      </c>
      <c r="F1" s="0" t="s">
        <v>187</v>
      </c>
    </row>
    <row r="2" customFormat="false" ht="15" hidden="false" customHeight="false" outlineLevel="0" collapsed="false">
      <c r="A2" s="0" t="s">
        <v>188</v>
      </c>
      <c r="B2" s="0" t="s">
        <v>189</v>
      </c>
      <c r="C2" s="0" t="s">
        <v>190</v>
      </c>
      <c r="D2" s="0" t="n">
        <v>10</v>
      </c>
      <c r="E2" s="0" t="s">
        <v>174</v>
      </c>
      <c r="F2" s="0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2026-09-24T10:14:30Z</dcterms:created>
  <dc:creator>openpyxl</dc:creator>
  <dc:description/>
  <dc:language>en-GB</dc:language>
  <cp:lastModifiedBy/>
  <dcterms:modified xsi:type="dcterms:W3CDTF">2026-09-24T10:16:23Z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