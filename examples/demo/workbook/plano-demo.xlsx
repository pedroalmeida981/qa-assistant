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Login" sheetId="2" state="visible" r:id="rId4"/>
    <sheet name="Produtos" sheetId="3" state="visible" r:id="rId5"/>
    <sheet name="Checkout" sheetId="4" state="visible" r:id="rId6"/>
    <sheet name="API" sheetId="5" state="visible" r:id="rId7"/>
    <sheet name="Acessibilidade" sheetId="6" state="visible" r:id="rId8"/>
    <sheet name="Mobile" sheetId="7" state="visible" r:id="rId9"/>
    <sheet name="Defeitos" sheetId="8" state="visible" r:id="rId10"/>
    <sheet name="Defeitos Ativos" sheetId="9" state="visible" r:id="rId11"/>
    <sheet name="_qa_lotes" sheetId="10" state="hidden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<sst xmlns="http://schemas.openxmlformats.org/spreadsheetml/2006/main" count="561" uniqueCount="278">
  <si>
    <t xml:space="preserve">Demo QA — saucedemo.com (site público de prática)</t>
  </si>
  <si>
    <t xml:space="preserve">Área</t>
  </si>
  <si>
    <t xml:space="preserve">Total</t>
  </si>
  <si>
    <t xml:space="preserve">Por testar</t>
  </si>
  <si>
    <t xml:space="preserve">Pass</t>
  </si>
  <si>
    <t xml:space="preserve">Fail</t>
  </si>
  <si>
    <t xml:space="preserve">Blocked</t>
  </si>
  <si>
    <t xml:space="preserve">N/A</t>
  </si>
  <si>
    <t xml:space="preserve">% Executado</t>
  </si>
  <si>
    <t xml:space="preserve">Login</t>
  </si>
  <si>
    <t xml:space="preserve">Produtos</t>
  </si>
  <si>
    <t xml:space="preserve">Checkout</t>
  </si>
  <si>
    <t xml:space="preserve">API</t>
  </si>
  <si>
    <t xml:space="preserve">Acessibilidade</t>
  </si>
  <si>
    <t xml:space="preserve">Mobile</t>
  </si>
  <si>
    <t xml:space="preserve">% Executado = casos fora de Por testar (N/A e Blocked contam como executados).</t>
  </si>
  <si>
    <t xml:space="preserve">ID</t>
  </si>
  <si>
    <t xml:space="preserve">Título</t>
  </si>
  <si>
    <t xml:space="preserve">Role</t>
  </si>
  <si>
    <t xml:space="preserve">Técnica</t>
  </si>
  <si>
    <t xml:space="preserve">Prioridade</t>
  </si>
  <si>
    <t xml:space="preserve">Pré-condições</t>
  </si>
  <si>
    <t xml:space="preserve">Passos</t>
  </si>
  <si>
    <t xml:space="preserve">Resultado Esperado</t>
  </si>
  <si>
    <t xml:space="preserve">Estado</t>
  </si>
  <si>
    <t xml:space="preserve">Resultado Obtido</t>
  </si>
  <si>
    <t xml:space="preserve">Observações</t>
  </si>
  <si>
    <t xml:space="preserve">CT-LOGIN-001</t>
  </si>
  <si>
    <t xml:space="preserve">Login com credenciais válidas</t>
  </si>
  <si>
    <t xml:space="preserve">standard_user</t>
  </si>
  <si>
    <t xml:space="preserve">Partição de equivalência</t>
  </si>
  <si>
    <t xml:space="preserve">Alta</t>
  </si>
  <si>
    <t xml:space="preserve">Página de login aberta, sem sessão iniciada.</t>
  </si>
  <si>
    <t xml:space="preserve">1. Preencher Username e Password com a conta da role.
2. Clicar em Login.</t>
  </si>
  <si>
    <t xml:space="preserve">Abre a página "Products" (/inventory.html).</t>
  </si>
  <si>
    <t xml:space="preserve">Abre /inventory.html com o título "Products".</t>
  </si>
  <si>
    <t xml:space="preserve">CT-LOGIN-002</t>
  </si>
  <si>
    <t xml:space="preserve">Login de utilizador bloqueado</t>
  </si>
  <si>
    <t xml:space="preserve">locked_out_user</t>
  </si>
  <si>
    <t xml:space="preserve">Matriz de roles</t>
  </si>
  <si>
    <t xml:space="preserve">Mostra o erro "Epic sadface: Sorry, this user has been locked out." e fica na página de login.</t>
  </si>
  <si>
    <t xml:space="preserve">Mostra "Epic sadface: Sorry, this user has been locked out."; fica em /.</t>
  </si>
  <si>
    <t xml:space="preserve">CT-LOGIN-003</t>
  </si>
  <si>
    <t xml:space="preserve">Login sem username</t>
  </si>
  <si>
    <t xml:space="preserve">—</t>
  </si>
  <si>
    <t xml:space="preserve">Média</t>
  </si>
  <si>
    <t xml:space="preserve">1. Deixar Username vazio e preencher Password.
2. Clicar em Login.</t>
  </si>
  <si>
    <t xml:space="preserve">Mostra o erro "Epic sadface: Username is required".</t>
  </si>
  <si>
    <t xml:space="preserve">Mostra "Epic sadface: Username is required"; fica em /.</t>
  </si>
  <si>
    <t xml:space="preserve">CT-LOGIN-004</t>
  </si>
  <si>
    <t xml:space="preserve">Login sem password</t>
  </si>
  <si>
    <t xml:space="preserve">1. Preencher Username com a conta da role e deixar Password vazio.
2. Clicar em Login.</t>
  </si>
  <si>
    <t xml:space="preserve">Mostra o erro "Epic sadface: Password is required".</t>
  </si>
  <si>
    <t xml:space="preserve">CT-LOGIN-005</t>
  </si>
  <si>
    <t xml:space="preserve">Login com password errada</t>
  </si>
  <si>
    <t xml:space="preserve">1. Preencher Username com a conta da role e Password com um valor errado.
2. Clicar em Login.</t>
  </si>
  <si>
    <t xml:space="preserve">Mostra o erro "Epic sadface: Username and password do not match any user in this service".</t>
  </si>
  <si>
    <t xml:space="preserve">CT-LOGIN-006</t>
  </si>
  <si>
    <t xml:space="preserve">Acesso direto ao inventário sem sessão</t>
  </si>
  <si>
    <t xml:space="preserve">Error guessing</t>
  </si>
  <si>
    <t xml:space="preserve">Sem sessão iniciada.</t>
  </si>
  <si>
    <t xml:space="preserve">1. Abrir diretamente /inventory.html.</t>
  </si>
  <si>
    <t xml:space="preserve">Mostra o formulário de login com o erro "Epic sadface: You can only access '/inventory.html' when you are logged in." (o URL pode continuar /inventory.html — decisão do utilizador, 24.09.2026).</t>
  </si>
  <si>
    <t xml:space="preserve">Sem sessão, /inventory.html mostra o formulário de login com "Epic sadface: You can only access '/inventory.html' when you are logged in."; o URL fica /inventory.html (aceite pelo esperado revisto). Observação da execução de 24.09.2026 (lote UI 01), reclassificada depois da resposta à Dúvida.</t>
  </si>
  <si>
    <t xml:space="preserve">CT-LOGIN-007</t>
  </si>
  <si>
    <t xml:space="preserve">Logout</t>
  </si>
  <si>
    <t xml:space="preserve">Transição de estados</t>
  </si>
  <si>
    <t xml:space="preserve">Sessão iniciada com a role indicada; página Products aberta; carrinho vazio.</t>
  </si>
  <si>
    <t xml:space="preserve">1. Abrir o menu lateral.
2. Clicar em Logout.
3. Usar o Back do browser.</t>
  </si>
  <si>
    <t xml:space="preserve">Volta à página de login; o Back não reabre o inventário sem nova sessão.</t>
  </si>
  <si>
    <t xml:space="preserve">CT-PROD-001</t>
  </si>
  <si>
    <t xml:space="preserve">Lista de produtos</t>
  </si>
  <si>
    <t xml:space="preserve">1. Observar a lista de produtos.</t>
  </si>
  <si>
    <t xml:space="preserve">São apresentados 6 produtos, cada um com nome, descrição, preço, imagem e botão "Add to cart".</t>
  </si>
  <si>
    <t xml:space="preserve">6 produtos, todos com nome, descrição, preço, imagem e botão "Add to cart".</t>
  </si>
  <si>
    <t xml:space="preserve">CT-PROD-002</t>
  </si>
  <si>
    <t xml:space="preserve">Ordenar por preço (low to high)</t>
  </si>
  <si>
    <t xml:space="preserve">1. Escolher "Price (low to high)" no seletor de ordenação.</t>
  </si>
  <si>
    <t xml:space="preserve">Os produtos ficam por ordem crescente de preço.</t>
  </si>
  <si>
    <t xml:space="preserve">Preços por ordem crescente: 7.99, 9.99, 15.99, 15.99, 29.99, 49.99.</t>
  </si>
  <si>
    <t xml:space="preserve">CT-PROD-003</t>
  </si>
  <si>
    <t xml:space="preserve">Ordenar por nome (Z to A)</t>
  </si>
  <si>
    <t xml:space="preserve">Baixa</t>
  </si>
  <si>
    <t xml:space="preserve">1. Escolher "Name (Z to A)" no seletor de ordenação.</t>
  </si>
  <si>
    <t xml:space="preserve">Os produtos ficam por ordem alfabética decrescente de nome.</t>
  </si>
  <si>
    <t xml:space="preserve">CT-PROD-004</t>
  </si>
  <si>
    <t xml:space="preserve">Detalhe do produto</t>
  </si>
  <si>
    <t xml:space="preserve">1. Anotar o nome e o preço do primeiro produto.
2. Clicar no nome do produto.
3. Clicar em "Back to products".</t>
  </si>
  <si>
    <t xml:space="preserve">O detalhe mostra o mesmo nome e preço da lista; "Back to products" volta à lista.</t>
  </si>
  <si>
    <t xml:space="preserve">CT-PROD-005</t>
  </si>
  <si>
    <t xml:space="preserve">Imagens dos produtos (problem_user)</t>
  </si>
  <si>
    <t xml:space="preserve">problem_user</t>
  </si>
  <si>
    <t xml:space="preserve">1. Observar a imagem de cada produto e comparar com a do standard_user.</t>
  </si>
  <si>
    <t xml:space="preserve">Cada produto mostra a sua própria imagem, igual à apresentada ao standard_user.</t>
  </si>
  <si>
    <t xml:space="preserve">Os 6 produtos mostram a mesma imagem (/assets/sl-404-….jpg); no standard_user cada produto tem a sua.</t>
  </si>
  <si>
    <t xml:space="preserve">[2026-09-24, lote_20260924_ui01] Defeito novo: BUG-3.</t>
  </si>
  <si>
    <t xml:space="preserve">CT-CHK-001</t>
  </si>
  <si>
    <t xml:space="preserve">Adicionar ao carrinho</t>
  </si>
  <si>
    <t xml:space="preserve">1. Clicar em "Add to cart" no primeiro produto.</t>
  </si>
  <si>
    <t xml:space="preserve">O contador do carrinho mostra 1 e o botão do produto passa a "Remove".</t>
  </si>
  <si>
    <t xml:space="preserve">Contador do carrinho = 1; botão passa a "Remove" (produto removido a seguir, para limpar).</t>
  </si>
  <si>
    <t xml:space="preserve">CT-CHK-002</t>
  </si>
  <si>
    <t xml:space="preserve">Remover do carrinho</t>
  </si>
  <si>
    <t xml:space="preserve">Sessão iniciada com a role indicada; página Products aberta; carrinho vazio. Um produto no carrinho.</t>
  </si>
  <si>
    <t xml:space="preserve">1. Abrir o carrinho.
2. Clicar em "Remove" no produto.</t>
  </si>
  <si>
    <t xml:space="preserve">O carrinho fica vazio e o contador do carrinho desaparece.</t>
  </si>
  <si>
    <t xml:space="preserve">CT-CHK-003</t>
  </si>
  <si>
    <t xml:space="preserve">Checkout sem First Name</t>
  </si>
  <si>
    <t xml:space="preserve">1. Abrir o carrinho e clicar em Checkout.
2. Preencher Last Name e Postal Code, deixar First Name vazio.
3. Clicar em Continue.</t>
  </si>
  <si>
    <t xml:space="preserve">Mostra o erro "Error: First Name is required".</t>
  </si>
  <si>
    <t xml:space="preserve">CT-CHK-004</t>
  </si>
  <si>
    <t xml:space="preserve">Checkout sem Postal Code</t>
  </si>
  <si>
    <t xml:space="preserve">1. Abrir o carrinho e clicar em Checkout.
2. Preencher First Name e Last Name, deixar Postal Code vazio.
3. Clicar em Continue.</t>
  </si>
  <si>
    <t xml:space="preserve">Mostra o erro "Error: Postal Code is required".</t>
  </si>
  <si>
    <t xml:space="preserve">CT-CHK-005</t>
  </si>
  <si>
    <t xml:space="preserve">Total no resumo do checkout</t>
  </si>
  <si>
    <t xml:space="preserve">Valores-limite (cálculo)</t>
  </si>
  <si>
    <t xml:space="preserve">Sessão iniciada com a role indicada; página Products aberta; carrinho vazio. Dois produtos no carrinho.</t>
  </si>
  <si>
    <t xml:space="preserve">1. Abrir o carrinho e clicar em Checkout.
2. Preencher os três campos com dados fictícios.
3. Clicar em Continue.</t>
  </si>
  <si>
    <t xml:space="preserve">Total = Item total + Tax, e Item total = soma dos preços dos produtos no carrinho.</t>
  </si>
  <si>
    <t xml:space="preserve">CT-CHK-006</t>
  </si>
  <si>
    <t xml:space="preserve">Concluir a compra</t>
  </si>
  <si>
    <t xml:space="preserve">1. Fazer o checkout com dados fictícios até ao resumo.
2. Clicar em Finish.</t>
  </si>
  <si>
    <t xml:space="preserve">Mostra "Thank you for your order!" e o carrinho fica vazio.</t>
  </si>
  <si>
    <t xml:space="preserve">CT-API-001</t>
  </si>
  <si>
    <t xml:space="preserve">Health check</t>
  </si>
  <si>
    <t xml:space="preserve">API acessível.</t>
  </si>
  <si>
    <t xml:space="preserve">1. GET /ping.</t>
  </si>
  <si>
    <t xml:space="preserve">Responde 201 Created (HealthCheck na documentação).</t>
  </si>
  <si>
    <t xml:space="preserve">GET /ping -&gt; 201 Created.</t>
  </si>
  <si>
    <t xml:space="preserve">CT-API-002</t>
  </si>
  <si>
    <t xml:space="preserve">Criar token com credenciais válidas</t>
  </si>
  <si>
    <t xml:space="preserve">admin (API)</t>
  </si>
  <si>
    <t xml:space="preserve">Credenciais de admin no .env.</t>
  </si>
  <si>
    <t xml:space="preserve">1. POST /auth com username e password de admin (JSON).</t>
  </si>
  <si>
    <t xml:space="preserve">Responde 200 com um campo "token" não vazio (CreateToken).</t>
  </si>
  <si>
    <t xml:space="preserve">POST /auth -&gt; 200 com token (15 caracteres; guardado como segredo da sessão, nunca mostrado).</t>
  </si>
  <si>
    <t xml:space="preserve">CT-API-003</t>
  </si>
  <si>
    <t xml:space="preserve">Criar reserva válida</t>
  </si>
  <si>
    <t xml:space="preserve">1. POST /booking com firstname QA-AUTO-…, lastname, totalprice, depositpaid, bookingdates e additionalneeds.</t>
  </si>
  <si>
    <t xml:space="preserve">Responde 200 com bookingid numérico e booking igual ao enviado (CreateBooking).</t>
  </si>
  <si>
    <t xml:space="preserve">POST /booking -&gt; 200, bookingid 2501, booking igual ao enviado.</t>
  </si>
  <si>
    <t xml:space="preserve">CT-API-004</t>
  </si>
  <si>
    <t xml:space="preserve">Ler a reserva criada</t>
  </si>
  <si>
    <t xml:space="preserve">Reserva de teste criada em CT-API-003 (firstname com prefixo QA-AUTO-).</t>
  </si>
  <si>
    <t xml:space="preserve">1. GET /booking/{id}.</t>
  </si>
  <si>
    <t xml:space="preserve">Responde 200 com os mesmos dados enviados na criação (GetBooking).</t>
  </si>
  <si>
    <t xml:space="preserve">GET /booking/2501 -&gt; 200, dados iguais aos enviados.</t>
  </si>
  <si>
    <t xml:space="preserve">CT-API-005</t>
  </si>
  <si>
    <t xml:space="preserve">Filtrar reservas por firstname</t>
  </si>
  <si>
    <t xml:space="preserve">1. GET /booking?firstname=&lt;firstname da reserva criada&gt;.</t>
  </si>
  <si>
    <t xml:space="preserve">Responde 200 com uma lista que contém o bookingid criado (GetBookingIds).</t>
  </si>
  <si>
    <t xml:space="preserve">GET /booking?firstname=QA-AUTO-20260924-api01 -&gt; 200, lista contém o bookingid 2501.</t>
  </si>
  <si>
    <t xml:space="preserve">CT-API-006</t>
  </si>
  <si>
    <t xml:space="preserve">Atualizar sem autenticação</t>
  </si>
  <si>
    <t xml:space="preserve">1. PUT /booking/{id} com dados novos, sem Cookie nem Authorization.
2. GET /booking/{id}.</t>
  </si>
  <si>
    <t xml:space="preserve">O pedido é recusado (4xx: a documentação exige token ou Basic no PUT) e a reserva fica igual.</t>
  </si>
  <si>
    <t xml:space="preserve">PUT sem autenticação -&gt; 403 Forbidden; GET seguinte igual ao original.</t>
  </si>
  <si>
    <t xml:space="preserve">CT-API-007</t>
  </si>
  <si>
    <t xml:space="preserve">Atualizar com token</t>
  </si>
  <si>
    <t xml:space="preserve">Reserva de teste criada em CT-API-003 (firstname com prefixo QA-AUTO-). Token de admin obtido com POST /auth (CT-API-002), guardado como segredo da sessão.</t>
  </si>
  <si>
    <t xml:space="preserve">1. PUT /booking/{id} com dados novos e Cookie: token=&lt;token&gt;.
2. GET /booking/{id}.</t>
  </si>
  <si>
    <t xml:space="preserve">Responde 200 com os dados novos, e o GET seguinte devolve-os (UpdateBooking).</t>
  </si>
  <si>
    <t xml:space="preserve">PUT com token -&gt; 200 com os dados novos; GET seguinte devolve-os.</t>
  </si>
  <si>
    <t xml:space="preserve">CT-API-008</t>
  </si>
  <si>
    <t xml:space="preserve">Atualização parcial com token</t>
  </si>
  <si>
    <t xml:space="preserve">1. PATCH /booking/{id} só com firstname novo e Cookie: token=&lt;token&gt;.
2. GET /booking/{id}.</t>
  </si>
  <si>
    <t xml:space="preserve">Responde 200; só o firstname muda, os outros campos ficam iguais (PartialUpdateBooking).</t>
  </si>
  <si>
    <t xml:space="preserve">PATCH firstname com token -&gt; 200; GET: só o firstname mudou.</t>
  </si>
  <si>
    <t xml:space="preserve">CT-API-009</t>
  </si>
  <si>
    <t xml:space="preserve">Criar reserva sem campos obrigatórios</t>
  </si>
  <si>
    <t xml:space="preserve">1. POST /booking com JSON só com lastname.</t>
  </si>
  <si>
    <t xml:space="preserve">Responde 4xx (erro do cliente), nunca 5xx. Fonte: a documentação é omissa sobre erros; RFC 9110 §15.5–15.6 (entrada inválida = 4xx).</t>
  </si>
  <si>
    <t xml:space="preserve">POST /booking só com lastname -&gt; 500 Internal Server Error (esperado 4xx).</t>
  </si>
  <si>
    <t xml:space="preserve">[2026-09-24, lote_20260924_api01] Defeito novo: BUG-1.</t>
  </si>
  <si>
    <t xml:space="preserve">CT-API-010</t>
  </si>
  <si>
    <t xml:space="preserve">Apagar a reserva com token</t>
  </si>
  <si>
    <t xml:space="preserve">1. DELETE /booking/{id} com Cookie: token=&lt;token&gt;.</t>
  </si>
  <si>
    <t xml:space="preserve">Responde 201 Created (DeleteBooking na documentação).</t>
  </si>
  <si>
    <t xml:space="preserve">DELETE /booking/2501 com token -&gt; 201 Created; GET seguinte -&gt; 404 (reserva de teste apagada).</t>
  </si>
  <si>
    <t xml:space="preserve">CT-A11Y-001</t>
  </si>
  <si>
    <t xml:space="preserve">Login: WCAG 2.1 AA automático</t>
  </si>
  <si>
    <t xml:space="preserve">Error guessing (axe-core)</t>
  </si>
  <si>
    <t xml:space="preserve">Auditoria automática (python scripts/auditar_a11y.py), página declarada em acessibilidade.paginas.</t>
  </si>
  <si>
    <t xml:space="preserve">1. Auditar a página login.</t>
  </si>
  <si>
    <t xml:space="preserve">Sem violações WCAG 2.1 A/AA detetadas pelo axe-core (boas práticas e incompletos não contam).</t>
  </si>
  <si>
    <t xml:space="preserve">axe-core (chrome 153.0.8010.53): 0 violações WCAG 2.1 A/AA; 28 regras passaram. Boas práticas (observação): page-has-heading-one, region.</t>
  </si>
  <si>
    <t xml:space="preserve">CT-A11Y-002</t>
  </si>
  <si>
    <t xml:space="preserve">Products: WCAG 2.1 AA automático</t>
  </si>
  <si>
    <t xml:space="preserve">Auditoria automática (python scripts/auditar_a11y.py), página declarada em acessibilidade.paginas. Com login.</t>
  </si>
  <si>
    <t xml:space="preserve">1. Auditar a página produtos.</t>
  </si>
  <si>
    <t xml:space="preserve">axe-core (chrome 153.0.8010.53): 0 violações WCAG 2.1 A/AA; 39 regras passaram. Boas práticas (observação): page-has-heading-one. Incompletos para revisão manual: color-contrast.</t>
  </si>
  <si>
    <t xml:space="preserve">CT-A11Y-003</t>
  </si>
  <si>
    <t xml:space="preserve">Carrinho: WCAG 2.1 AA automático</t>
  </si>
  <si>
    <t xml:space="preserve">1. Auditar a página carrinho.</t>
  </si>
  <si>
    <t xml:space="preserve">axe-core (chrome 153.0.8010.53): 0 violações WCAG 2.1 A/AA; 37 regras passaram. Boas práticas (observação): page-has-heading-one.</t>
  </si>
  <si>
    <t xml:space="preserve">CT-A11Y-004</t>
  </si>
  <si>
    <t xml:space="preserve">Checkout (dados): WCAG 2.1 AA automático</t>
  </si>
  <si>
    <t xml:space="preserve">1. Auditar a página checkout-dados.</t>
  </si>
  <si>
    <t xml:space="preserve">axe-core (chrome 153.0.8010.53): 0 violações WCAG 2.1 A/AA; 41 regras passaram. Boas práticas (observação): page-has-heading-one.</t>
  </si>
  <si>
    <t xml:space="preserve">CT-A11Y-005</t>
  </si>
  <si>
    <t xml:space="preserve">Contraste dos elementos que o axe não decidiu</t>
  </si>
  <si>
    <t xml:space="preserve">Checklist manual (WCAG)</t>
  </si>
  <si>
    <t xml:space="preserve">Incompletos de color-contrast da auditoria de Products.</t>
  </si>
  <si>
    <t xml:space="preserve">1. Medir o contraste de cada elemento listado pelo axe como incompleto (texto e fundo reais).</t>
  </si>
  <si>
    <t xml:space="preserve">Contraste de pelo menos 4.5:1 (texto normal) ou 3:1 (texto grande) — critério 1.4.3 AA.</t>
  </si>
  <si>
    <t xml:space="preserve">CT-A11Y-006</t>
  </si>
  <si>
    <t xml:space="preserve">Título de cada página identifica o conteúdo</t>
  </si>
  <si>
    <t xml:space="preserve">Páginas login, produtos, carrinho e checkout-dados.</t>
  </si>
  <si>
    <t xml:space="preserve">1. Ler o título (title) de cada página.</t>
  </si>
  <si>
    <t xml:space="preserve">Cada página tem um título que identifica o seu conteúdo ou propósito, diferente entre páginas diferentes — critério 2.4.2 A (Understanding 2.4.2, técnica G88).</t>
  </si>
  <si>
    <t xml:space="preserve">As 4 páginas auditadas têm o mesmo título: login = "Swag Labs"; produtos = "Swag Labs"; carrinho = "Swag Labs"; checkout-dados = "Swag Labs".</t>
  </si>
  <si>
    <t xml:space="preserve">[2026-09-24, lote_20260924_a11y01] Defeito novo: BUG-2.</t>
  </si>
  <si>
    <t xml:space="preserve">CT-A11Y-007</t>
  </si>
  <si>
    <t xml:space="preserve">Login operável só com teclado</t>
  </si>
  <si>
    <t xml:space="preserve">1. Com Tab, chegar a Username, Password e Login.
2. Preencher e submeter com Enter.</t>
  </si>
  <si>
    <t xml:space="preserve">O login faz-se só com teclado, com foco visível em cada campo — critérios 2.1.1 A e 2.4.7 AA.</t>
  </si>
  <si>
    <t xml:space="preserve">CT-MOB-001</t>
  </si>
  <si>
    <t xml:space="preserve">Login com credenciais válidas (flow)</t>
  </si>
  <si>
    <t xml:space="preserve">Flow Maestro em flows/ (python scripts/testar_mobile.py); sem sessão; credenciais do .env como MAESTRO_&lt;VAR&gt;.</t>
  </si>
  <si>
    <t xml:space="preserve">1. Correr flows/CT-MOB-001_login.yaml.</t>
  </si>
  <si>
    <t xml:space="preserve">Depois do login aparece a página "Products".</t>
  </si>
  <si>
    <t xml:space="preserve">Maestro Web (beta) no Chrome: flow examples\demo\flows\CT-MOB-001_login.yaml passou em 13 s; página "Products" visível depois do login.</t>
  </si>
  <si>
    <t xml:space="preserve">CT-MOB-002</t>
  </si>
  <si>
    <t xml:space="preserve">Login de utilizador bloqueado (flow)</t>
  </si>
  <si>
    <t xml:space="preserve">1. Correr flows/CT-MOB-002_bloqueado.yaml.</t>
  </si>
  <si>
    <t xml:space="preserve">Mostra "Epic sadface: Sorry, this user has been locked out." e não entra.</t>
  </si>
  <si>
    <t xml:space="preserve">Maestro Web (beta) no Chrome: flow examples\demo\flows\CT-MOB-002_bloqueado.yaml passou em 10 s; mensagem "Epic sadface: Sorry, this user has been locked out." visível.</t>
  </si>
  <si>
    <t xml:space="preserve">CT-MOB-003</t>
  </si>
  <si>
    <t xml:space="preserve">Adicionar ao carrinho (flow)</t>
  </si>
  <si>
    <t xml:space="preserve">1. Correr flows/CT-MOB-003_carrinho.yaml.</t>
  </si>
  <si>
    <t xml:space="preserve">O botão do produto passa a "Remove" e o contador do carrinho mostra 1.</t>
  </si>
  <si>
    <t xml:space="preserve">Maestro Web (beta) no Chrome: flow examples\demo\flows\CT-MOB-003_carrinho.yaml passou em 13 s; botão "Remove" visível e contador do carrinho com 1.</t>
  </si>
  <si>
    <t xml:space="preserve">Descrição</t>
  </si>
  <si>
    <t xml:space="preserve">Caso</t>
  </si>
  <si>
    <t xml:space="preserve">Severidade</t>
  </si>
  <si>
    <t xml:space="preserve">Reportado por</t>
  </si>
  <si>
    <t xml:space="preserve">Data</t>
  </si>
  <si>
    <t xml:space="preserve">BUG-1</t>
  </si>
  <si>
    <t xml:space="preserve">POST /booking com campos obrigatórios em falta devolve 500</t>
  </si>
  <si>
    <t xml:space="preserve">Ambiente: API de prática restful-booker (api-teste). Role: nenhuma (sem autenticação).
Passos: POST /booking com o corpo JSON {"lastname": "SoApelido"} (sem firstname, totalprice, depositpaid, bookingdates).
Esperado: 4xx (erro do cliente). A documentação é omissa sobre erros; RFC 9110 §15.5–15.6: entrada inválida = 4xx.
Observado: 500 Internal Server Error, corpo "Internal Server Error" (555 ms, 24.09.2026 11:31).
Evidência redigida: runs/evidencia/CT-API-009.json.</t>
  </si>
  <si>
    <t xml:space="preserve">Aberto</t>
  </si>
  <si>
    <t xml:space="preserve">QA automatizado</t>
  </si>
  <si>
    <t xml:space="preserve">2026-09-24</t>
  </si>
  <si>
    <t xml:space="preserve">BUG-2</t>
  </si>
  <si>
    <t xml:space="preserve">[2.4.2 A] Todas as páginas têm o mesmo título ("Swag Labs")</t>
  </si>
  <si>
    <t xml:space="preserve">Ambiente: saucedemo.com (teste). Role: standard_user.
Passos: abrir login, Products, carrinho e Checkout: Your Information; ler o title de cada página.
Esperado: cada página com um título que identifica o seu conteúdo (WCAG 2.1, critério 2.4.2, nível A; Understanding 2.4.2, técnica G88).
Observado: as 4 páginas têm o title "Swag Labs"; um utilizador de leitor de ecrã não distingue as páginas pelo título.
Evidência: runs/a11y_20260924_01.json (campo titulo de cada página).</t>
  </si>
  <si>
    <t xml:space="preserve">BUG-3</t>
  </si>
  <si>
    <t xml:space="preserve">problem_user: todos os produtos mostram a mesma imagem</t>
  </si>
  <si>
    <t xml:space="preserve">Ambiente: saucedemo.com (teste), Chrome 153 via biblioteca Playwright (não o Playwright MCP, que não estava disponível nesta sessão). Role: problem_user.
Passos: login com problem_user; observar a imagem de cada produto em Products; repetir com standard_user.
Esperado: cada produto com a sua própria imagem, igual à apresentada ao standard_user.
Observado: os 6 produtos mostram a mesma imagem (/assets/sl-404-….jpg); com standard_user as 6 imagens são diferentes e correspondem a cada produto.</t>
  </si>
  <si>
    <t xml:space="preserve">Defeitos ativos (regenerado pelo adaptador — não editar à mão)</t>
  </si>
  <si>
    <t xml:space="preserve">3 abertos (0 Crítica, 0 Alta, 2 Média, 1 Baixa) · 0 fechados · atualizado a 24.09.2026</t>
  </si>
  <si>
    <t xml:space="preserve">hash</t>
  </si>
  <si>
    <t xml:space="preserve">aplicado_em</t>
  </si>
  <si>
    <t xml:space="preserve">etiqueta</t>
  </si>
  <si>
    <t xml:space="preserve">itens</t>
  </si>
  <si>
    <t xml:space="preserve">defeitos_novos</t>
  </si>
  <si>
    <t xml:space="preserve">lote_id</t>
  </si>
  <si>
    <t xml:space="preserve">5f9fd024e81cc1eab582ca9bdf73b0251242bd3c4c4d7ef356262b1d5494e6f8</t>
  </si>
  <si>
    <t xml:space="preserve">2026-09-24T13:29:13</t>
  </si>
  <si>
    <t xml:space="preserve">[2026-09-24, lote_20260924_api01]</t>
  </si>
  <si>
    <t xml:space="preserve">lote_20260924_api01</t>
  </si>
  <si>
    <t xml:space="preserve">1cb0929f96c97b3dbfd8cd74ffef5c07006ceeb02d0700501113aff216d6c4a6</t>
  </si>
  <si>
    <t xml:space="preserve">2026-09-24T13:29:15</t>
  </si>
  <si>
    <t xml:space="preserve">[2026-09-24, lote_20260924_a11y01]</t>
  </si>
  <si>
    <t xml:space="preserve">lote_20260924_a11y01</t>
  </si>
  <si>
    <t xml:space="preserve">80a1805992f0a3bb17024dd7f321d1a637283eb189d7343a34b6f27a61b246a8</t>
  </si>
  <si>
    <t xml:space="preserve">2026-09-24T13:29:18</t>
  </si>
  <si>
    <t xml:space="preserve">[2026-09-24, lote_20260924_mob01]</t>
  </si>
  <si>
    <t xml:space="preserve">lote_20260924_mob01</t>
  </si>
  <si>
    <t xml:space="preserve">a66063dfa46994897ebd9b0ba858fdff59beaf63578cedd1cc72062f83e22f86</t>
  </si>
  <si>
    <t xml:space="preserve">2026-09-24T13:29:20</t>
  </si>
  <si>
    <t xml:space="preserve">[2026-09-24, lote_20260924_ui01]</t>
  </si>
  <si>
    <t xml:space="preserve">lote_20260924_ui01</t>
  </si>
  <si>
    <t xml:space="preserve">b25162c001d4fe6b4c098f024686d5ca6e599cacb703b6810a39ebecd53e6038</t>
  </si>
  <si>
    <t xml:space="preserve">2026-09-24T13:29:23</t>
  </si>
  <si>
    <t xml:space="preserve">[2026-09-24, lote_20260924_ui02]</t>
  </si>
  <si>
    <t xml:space="preserve">lote_20260924_ui02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</si>
</sst>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7.25" hidden="false" customHeight="tru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true" outlineLevel="0" collapsed="false">
      <c r="A4" s="3" t="s">
        <v>9</v>
      </c>
      <c r="B4" s="3" t="n">
        <f aca="false">COUNTA(Login!A2:A200)</f>
        <v>7</v>
      </c>
      <c r="C4" s="3" t="n">
        <f aca="false">COUNTIF(Login!I2:I200,"Por testar")</f>
        <v>3</v>
      </c>
      <c r="D4" s="3" t="n">
        <f aca="false">COUNTIF(Login!I2:I200,"Pass")</f>
        <v>4</v>
      </c>
      <c r="E4" s="3" t="n">
        <f aca="false">COUNTIF(Login!I2:I200,"Fail")</f>
        <v>0</v>
      </c>
      <c r="F4" s="3" t="n">
        <f aca="false">COUNTIF(Login!I2:I200,"Blocked")</f>
        <v>0</v>
      </c>
      <c r="G4" s="3" t="n">
        <f aca="false">COUNTIF(Login!I2:I200,"N/A")</f>
        <v>0</v>
      </c>
      <c r="H4" s="4" t="n">
        <f aca="false">IFERROR((B4-C4)/B4,0)</f>
        <v>0.571428571428571</v>
      </c>
    </row>
    <row r="5" customFormat="false" ht="15" hidden="false" customHeight="true" outlineLevel="0" collapsed="false">
      <c r="A5" s="3" t="s">
        <v>10</v>
      </c>
      <c r="B5" s="3" t="n">
        <f aca="false">COUNTA(Produtos!A2:A200)</f>
        <v>5</v>
      </c>
      <c r="C5" s="3" t="n">
        <f aca="false">COUNTIF(Produtos!I2:I200,"Por testar")</f>
        <v>2</v>
      </c>
      <c r="D5" s="3" t="n">
        <f aca="false">COUNTIF(Produtos!I2:I200,"Pass")</f>
        <v>2</v>
      </c>
      <c r="E5" s="3" t="n">
        <f aca="false">COUNTIF(Produtos!I2:I200,"Fail")</f>
        <v>1</v>
      </c>
      <c r="F5" s="3" t="n">
        <f aca="false">COUNTIF(Produtos!I2:I200,"Blocked")</f>
        <v>0</v>
      </c>
      <c r="G5" s="3" t="n">
        <f aca="false">COUNTIF(Produtos!I2:I200,"N/A")</f>
        <v>0</v>
      </c>
      <c r="H5" s="4" t="n">
        <f aca="false">IFERROR((B5-C5)/B5,0)</f>
        <v>0.6</v>
      </c>
    </row>
    <row r="6" customFormat="false" ht="15" hidden="false" customHeight="true" outlineLevel="0" collapsed="false">
      <c r="A6" s="3" t="s">
        <v>11</v>
      </c>
      <c r="B6" s="3" t="n">
        <f aca="false">COUNTA(Checkout!A2:A200)</f>
        <v>6</v>
      </c>
      <c r="C6" s="3" t="n">
        <f aca="false">COUNTIF(Checkout!I2:I200,"Por testar")</f>
        <v>5</v>
      </c>
      <c r="D6" s="3" t="n">
        <f aca="false">COUNTIF(Checkout!I2:I200,"Pass")</f>
        <v>1</v>
      </c>
      <c r="E6" s="3" t="n">
        <f aca="false">COUNTIF(Checkout!I2:I200,"Fail")</f>
        <v>0</v>
      </c>
      <c r="F6" s="3" t="n">
        <f aca="false">COUNTIF(Checkout!I2:I200,"Blocked")</f>
        <v>0</v>
      </c>
      <c r="G6" s="3" t="n">
        <f aca="false">COUNTIF(Checkout!I2:I200,"N/A")</f>
        <v>0</v>
      </c>
      <c r="H6" s="4" t="n">
        <f aca="false">IFERROR((B6-C6)/B6,0)</f>
        <v>0.166666666666667</v>
      </c>
    </row>
    <row r="7" customFormat="false" ht="15" hidden="false" customHeight="true" outlineLevel="0" collapsed="false">
      <c r="A7" s="3" t="s">
        <v>12</v>
      </c>
      <c r="B7" s="3" t="n">
        <f aca="false">COUNTA(API!A2:A200)</f>
        <v>10</v>
      </c>
      <c r="C7" s="3" t="n">
        <f aca="false">COUNTIF(API!I2:I200,"Por testar")</f>
        <v>0</v>
      </c>
      <c r="D7" s="3" t="n">
        <f aca="false">COUNTIF(API!I2:I200,"Pass")</f>
        <v>9</v>
      </c>
      <c r="E7" s="3" t="n">
        <f aca="false">COUNTIF(API!I2:I200,"Fail")</f>
        <v>1</v>
      </c>
      <c r="F7" s="3" t="n">
        <f aca="false">COUNTIF(API!I2:I200,"Blocked")</f>
        <v>0</v>
      </c>
      <c r="G7" s="3" t="n">
        <f aca="false">COUNTIF(API!I2:I200,"N/A")</f>
        <v>0</v>
      </c>
      <c r="H7" s="4" t="n">
        <f aca="false">IFERROR((B7-C7)/B7,0)</f>
        <v>1</v>
      </c>
    </row>
    <row r="8" customFormat="false" ht="15" hidden="false" customHeight="true" outlineLevel="0" collapsed="false">
      <c r="A8" s="3" t="s">
        <v>13</v>
      </c>
      <c r="B8" s="3" t="n">
        <f aca="false">COUNTA(Acessibilidade!A2:A200)</f>
        <v>7</v>
      </c>
      <c r="C8" s="3" t="n">
        <f aca="false">COUNTIF(Acessibilidade!I2:I200,"Por testar")</f>
        <v>2</v>
      </c>
      <c r="D8" s="3" t="n">
        <f aca="false">COUNTIF(Acessibilidade!I2:I200,"Pass")</f>
        <v>4</v>
      </c>
      <c r="E8" s="3" t="n">
        <f aca="false">COUNTIF(Acessibilidade!I2:I200,"Fail")</f>
        <v>1</v>
      </c>
      <c r="F8" s="3" t="n">
        <f aca="false">COUNTIF(Acessibilidade!I2:I200,"Blocked")</f>
        <v>0</v>
      </c>
      <c r="G8" s="3" t="n">
        <f aca="false">COUNTIF(Acessibilidade!I2:I200,"N/A")</f>
        <v>0</v>
      </c>
      <c r="H8" s="4" t="n">
        <f aca="false">IFERROR((B8-C8)/B8,0)</f>
        <v>0.714285714285714</v>
      </c>
    </row>
    <row r="9" customFormat="false" ht="15" hidden="false" customHeight="true" outlineLevel="0" collapsed="false">
      <c r="A9" s="3" t="s">
        <v>14</v>
      </c>
      <c r="B9" s="3" t="n">
        <f aca="false">COUNTA(Mobile!A2:A200)</f>
        <v>3</v>
      </c>
      <c r="C9" s="3" t="n">
        <f aca="false">COUNTIF(Mobile!I2:I200,"Por testar")</f>
        <v>0</v>
      </c>
      <c r="D9" s="3" t="n">
        <f aca="false">COUNTIF(Mobile!I2:I200,"Pass")</f>
        <v>3</v>
      </c>
      <c r="E9" s="3" t="n">
        <f aca="false">COUNTIF(Mobile!I2:I200,"Fail")</f>
        <v>0</v>
      </c>
      <c r="F9" s="3" t="n">
        <f aca="false">COUNTIF(Mobile!I2:I200,"Blocked")</f>
        <v>0</v>
      </c>
      <c r="G9" s="3" t="n">
        <f aca="false">COUNTIF(Mobile!I2:I200,"N/A")</f>
        <v>0</v>
      </c>
      <c r="H9" s="4" t="n">
        <f aca="false">IFERROR((B9-C9)/B9,0)</f>
        <v>1</v>
      </c>
    </row>
    <row r="10" customFormat="false" ht="15" hidden="false" customHeight="true" outlineLevel="0" collapsed="false">
      <c r="A10" s="5" t="s">
        <v>2</v>
      </c>
      <c r="B10" s="3" t="n">
        <f aca="false">SUM(B4:B9)</f>
        <v>38</v>
      </c>
      <c r="C10" s="3" t="n">
        <f aca="false">SUM(C4:C9)</f>
        <v>12</v>
      </c>
      <c r="D10" s="3" t="n">
        <f aca="false">SUM(D4:D9)</f>
        <v>23</v>
      </c>
      <c r="E10" s="3" t="n">
        <f aca="false">SUM(E4:E9)</f>
        <v>3</v>
      </c>
      <c r="F10" s="3" t="n">
        <f aca="false">SUM(F4:F9)</f>
        <v>0</v>
      </c>
      <c r="G10" s="3" t="n">
        <f aca="false">SUM(G4:G9)</f>
        <v>0</v>
      </c>
      <c r="H10" s="4" t="n">
        <f aca="false">IFERROR((B10-C10)/B10,0)</f>
        <v>0.68421052631579</v>
      </c>
    </row>
    <row r="12" customFormat="false" ht="15" hidden="false" customHeight="true" outlineLevel="0" collapsed="false">
      <c r="A12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27</v>
      </c>
      <c r="B2" s="6" t="s">
        <v>28</v>
      </c>
      <c r="C2" s="6" t="s">
        <v>29</v>
      </c>
      <c r="D2" s="6" t="s">
        <v>30</v>
      </c>
      <c r="E2" s="6" t="s">
        <v>31</v>
      </c>
      <c r="F2" s="6" t="s">
        <v>32</v>
      </c>
      <c r="G2" s="6" t="s">
        <v>33</v>
      </c>
      <c r="H2" s="6" t="s">
        <v>34</v>
      </c>
      <c r="I2" s="6" t="s">
        <v>4</v>
      </c>
      <c r="J2" s="6" t="s">
        <v>35</v>
      </c>
      <c r="K2" s="6"/>
    </row>
    <row r="3" customFormat="false" ht="34.5" hidden="false" customHeight="true" outlineLevel="0" collapsed="false">
      <c r="A3" s="6" t="s">
        <v>36</v>
      </c>
      <c r="B3" s="6" t="s">
        <v>37</v>
      </c>
      <c r="C3" s="6" t="s">
        <v>38</v>
      </c>
      <c r="D3" s="6" t="s">
        <v>39</v>
      </c>
      <c r="E3" s="6" t="s">
        <v>31</v>
      </c>
      <c r="F3" s="6" t="s">
        <v>32</v>
      </c>
      <c r="G3" s="6" t="s">
        <v>33</v>
      </c>
      <c r="H3" s="6" t="s">
        <v>40</v>
      </c>
      <c r="I3" s="6" t="s">
        <v>4</v>
      </c>
      <c r="J3" s="6" t="s">
        <v>41</v>
      </c>
      <c r="K3" s="6"/>
    </row>
    <row r="4" customFormat="false" ht="23.25" hidden="false" customHeight="true" outlineLevel="0" collapsed="false">
      <c r="A4" s="6" t="s">
        <v>42</v>
      </c>
      <c r="B4" s="6" t="s">
        <v>43</v>
      </c>
      <c r="C4" s="6" t="s">
        <v>44</v>
      </c>
      <c r="D4" s="6" t="s">
        <v>30</v>
      </c>
      <c r="E4" s="6" t="s">
        <v>45</v>
      </c>
      <c r="F4" s="6" t="s">
        <v>32</v>
      </c>
      <c r="G4" s="6" t="s">
        <v>46</v>
      </c>
      <c r="H4" s="6" t="s">
        <v>47</v>
      </c>
      <c r="I4" s="6" t="s">
        <v>4</v>
      </c>
      <c r="J4" s="6" t="s">
        <v>48</v>
      </c>
      <c r="K4" s="6"/>
    </row>
    <row r="5" customFormat="false" ht="34.5" hidden="false" customHeight="true" outlineLevel="0" collapsed="false">
      <c r="A5" s="6" t="s">
        <v>49</v>
      </c>
      <c r="B5" s="6" t="s">
        <v>50</v>
      </c>
      <c r="C5" s="6" t="s">
        <v>29</v>
      </c>
      <c r="D5" s="6" t="s">
        <v>30</v>
      </c>
      <c r="E5" s="6" t="s">
        <v>45</v>
      </c>
      <c r="F5" s="6" t="s">
        <v>32</v>
      </c>
      <c r="G5" s="6" t="s">
        <v>51</v>
      </c>
      <c r="H5" s="6" t="s">
        <v>52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53</v>
      </c>
      <c r="B6" s="6" t="s">
        <v>54</v>
      </c>
      <c r="C6" s="6" t="s">
        <v>29</v>
      </c>
      <c r="D6" s="6" t="s">
        <v>30</v>
      </c>
      <c r="E6" s="6" t="s">
        <v>45</v>
      </c>
      <c r="F6" s="6" t="s">
        <v>32</v>
      </c>
      <c r="G6" s="6" t="s">
        <v>55</v>
      </c>
      <c r="H6" s="6" t="s">
        <v>56</v>
      </c>
      <c r="I6" s="6" t="s">
        <v>3</v>
      </c>
      <c r="J6" s="6"/>
      <c r="K6" s="6"/>
    </row>
    <row r="7" customFormat="false" ht="57" hidden="false" customHeight="true" outlineLevel="0" collapsed="false">
      <c r="A7" s="6" t="s">
        <v>57</v>
      </c>
      <c r="B7" s="6" t="s">
        <v>58</v>
      </c>
      <c r="C7" s="6" t="s">
        <v>44</v>
      </c>
      <c r="D7" s="6" t="s">
        <v>59</v>
      </c>
      <c r="E7" s="6" t="s">
        <v>31</v>
      </c>
      <c r="F7" s="6" t="s">
        <v>60</v>
      </c>
      <c r="G7" s="6" t="s">
        <v>61</v>
      </c>
      <c r="H7" s="6" t="s">
        <v>62</v>
      </c>
      <c r="I7" s="6" t="s">
        <v>4</v>
      </c>
      <c r="J7" s="6" t="s">
        <v>63</v>
      </c>
      <c r="K7" s="6"/>
    </row>
    <row r="8" customFormat="false" ht="34.5" hidden="false" customHeight="true" outlineLevel="0" collapsed="false">
      <c r="A8" s="6" t="s">
        <v>64</v>
      </c>
      <c r="B8" s="6" t="s">
        <v>65</v>
      </c>
      <c r="C8" s="6" t="s">
        <v>29</v>
      </c>
      <c r="D8" s="6" t="s">
        <v>66</v>
      </c>
      <c r="E8" s="6" t="s">
        <v>45</v>
      </c>
      <c r="F8" s="6" t="s">
        <v>67</v>
      </c>
      <c r="G8" s="6" t="s">
        <v>68</v>
      </c>
      <c r="H8" s="6" t="s">
        <v>69</v>
      </c>
      <c r="I8" s="6" t="s">
        <v>3</v>
      </c>
      <c r="J8" s="6"/>
      <c r="K8" s="6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70</v>
      </c>
      <c r="B2" s="6" t="s">
        <v>71</v>
      </c>
      <c r="C2" s="6" t="s">
        <v>29</v>
      </c>
      <c r="D2" s="6" t="s">
        <v>30</v>
      </c>
      <c r="E2" s="6" t="s">
        <v>31</v>
      </c>
      <c r="F2" s="6" t="s">
        <v>67</v>
      </c>
      <c r="G2" s="6" t="s">
        <v>72</v>
      </c>
      <c r="H2" s="6" t="s">
        <v>73</v>
      </c>
      <c r="I2" s="6" t="s">
        <v>4</v>
      </c>
      <c r="J2" s="6" t="s">
        <v>74</v>
      </c>
      <c r="K2" s="6"/>
    </row>
    <row r="3" customFormat="false" ht="34.5" hidden="false" customHeight="true" outlineLevel="0" collapsed="false">
      <c r="A3" s="6" t="s">
        <v>75</v>
      </c>
      <c r="B3" s="6" t="s">
        <v>76</v>
      </c>
      <c r="C3" s="6" t="s">
        <v>29</v>
      </c>
      <c r="D3" s="6" t="s">
        <v>30</v>
      </c>
      <c r="E3" s="6" t="s">
        <v>45</v>
      </c>
      <c r="F3" s="6" t="s">
        <v>67</v>
      </c>
      <c r="G3" s="6" t="s">
        <v>77</v>
      </c>
      <c r="H3" s="6" t="s">
        <v>78</v>
      </c>
      <c r="I3" s="6" t="s">
        <v>4</v>
      </c>
      <c r="J3" s="6" t="s">
        <v>79</v>
      </c>
      <c r="K3" s="6"/>
    </row>
    <row r="4" customFormat="false" ht="34.5" hidden="false" customHeight="true" outlineLevel="0" collapsed="false">
      <c r="A4" s="6" t="s">
        <v>80</v>
      </c>
      <c r="B4" s="6" t="s">
        <v>81</v>
      </c>
      <c r="C4" s="6" t="s">
        <v>29</v>
      </c>
      <c r="D4" s="6" t="s">
        <v>30</v>
      </c>
      <c r="E4" s="6" t="s">
        <v>82</v>
      </c>
      <c r="F4" s="6" t="s">
        <v>67</v>
      </c>
      <c r="G4" s="6" t="s">
        <v>83</v>
      </c>
      <c r="H4" s="6" t="s">
        <v>84</v>
      </c>
      <c r="I4" s="6" t="s">
        <v>3</v>
      </c>
      <c r="J4" s="6"/>
      <c r="K4" s="6"/>
    </row>
    <row r="5" customFormat="false" ht="34.5" hidden="false" customHeight="true" outlineLevel="0" collapsed="false">
      <c r="A5" s="6" t="s">
        <v>85</v>
      </c>
      <c r="B5" s="6" t="s">
        <v>86</v>
      </c>
      <c r="C5" s="6" t="s">
        <v>29</v>
      </c>
      <c r="D5" s="6" t="s">
        <v>30</v>
      </c>
      <c r="E5" s="6" t="s">
        <v>45</v>
      </c>
      <c r="F5" s="6" t="s">
        <v>67</v>
      </c>
      <c r="G5" s="6" t="s">
        <v>87</v>
      </c>
      <c r="H5" s="6" t="s">
        <v>88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89</v>
      </c>
      <c r="B6" s="6" t="s">
        <v>90</v>
      </c>
      <c r="C6" s="6" t="s">
        <v>91</v>
      </c>
      <c r="D6" s="6" t="s">
        <v>39</v>
      </c>
      <c r="E6" s="6" t="s">
        <v>45</v>
      </c>
      <c r="F6" s="6" t="s">
        <v>67</v>
      </c>
      <c r="G6" s="6" t="s">
        <v>92</v>
      </c>
      <c r="H6" s="6" t="s">
        <v>93</v>
      </c>
      <c r="I6" s="6" t="s">
        <v>5</v>
      </c>
      <c r="J6" s="6" t="s">
        <v>94</v>
      </c>
      <c r="K6" s="6" t="s">
        <v>95</v>
      </c>
    </row>
    <row r="7" customFormat="false" ht="15" hidden="false" customHeight="true" outlineLevel="0" collapsed="false">
      <c r="I7" s="7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34.5" hidden="false" customHeight="true" outlineLevel="0" collapsed="false">
      <c r="A2" s="6" t="s">
        <v>96</v>
      </c>
      <c r="B2" s="6" t="s">
        <v>97</v>
      </c>
      <c r="C2" s="6" t="s">
        <v>29</v>
      </c>
      <c r="D2" s="6" t="s">
        <v>66</v>
      </c>
      <c r="E2" s="6" t="s">
        <v>31</v>
      </c>
      <c r="F2" s="6" t="s">
        <v>67</v>
      </c>
      <c r="G2" s="6" t="s">
        <v>98</v>
      </c>
      <c r="H2" s="6" t="s">
        <v>99</v>
      </c>
      <c r="I2" s="6" t="s">
        <v>4</v>
      </c>
      <c r="J2" s="6" t="s">
        <v>100</v>
      </c>
      <c r="K2" s="6"/>
    </row>
    <row r="3" customFormat="false" ht="45.75" hidden="false" customHeight="true" outlineLevel="0" collapsed="false">
      <c r="A3" s="6" t="s">
        <v>101</v>
      </c>
      <c r="B3" s="6" t="s">
        <v>102</v>
      </c>
      <c r="C3" s="6" t="s">
        <v>29</v>
      </c>
      <c r="D3" s="6" t="s">
        <v>66</v>
      </c>
      <c r="E3" s="6" t="s">
        <v>45</v>
      </c>
      <c r="F3" s="6" t="s">
        <v>103</v>
      </c>
      <c r="G3" s="6" t="s">
        <v>104</v>
      </c>
      <c r="H3" s="6" t="s">
        <v>105</v>
      </c>
      <c r="I3" s="6" t="s">
        <v>3</v>
      </c>
      <c r="J3" s="6"/>
      <c r="K3" s="6"/>
    </row>
    <row r="4" customFormat="false" ht="45.75" hidden="false" customHeight="true" outlineLevel="0" collapsed="false">
      <c r="A4" s="6" t="s">
        <v>106</v>
      </c>
      <c r="B4" s="6" t="s">
        <v>107</v>
      </c>
      <c r="C4" s="6" t="s">
        <v>29</v>
      </c>
      <c r="D4" s="6" t="s">
        <v>30</v>
      </c>
      <c r="E4" s="6" t="s">
        <v>45</v>
      </c>
      <c r="F4" s="6" t="s">
        <v>103</v>
      </c>
      <c r="G4" s="6" t="s">
        <v>108</v>
      </c>
      <c r="H4" s="6" t="s">
        <v>109</v>
      </c>
      <c r="I4" s="6" t="s">
        <v>3</v>
      </c>
      <c r="J4" s="6"/>
      <c r="K4" s="6"/>
    </row>
    <row r="5" customFormat="false" ht="45.75" hidden="false" customHeight="true" outlineLevel="0" collapsed="false">
      <c r="A5" s="6" t="s">
        <v>110</v>
      </c>
      <c r="B5" s="6" t="s">
        <v>111</v>
      </c>
      <c r="C5" s="6" t="s">
        <v>29</v>
      </c>
      <c r="D5" s="6" t="s">
        <v>30</v>
      </c>
      <c r="E5" s="6" t="s">
        <v>45</v>
      </c>
      <c r="F5" s="6" t="s">
        <v>103</v>
      </c>
      <c r="G5" s="6" t="s">
        <v>112</v>
      </c>
      <c r="H5" s="6" t="s">
        <v>113</v>
      </c>
      <c r="I5" s="6" t="s">
        <v>3</v>
      </c>
      <c r="J5" s="6"/>
      <c r="K5" s="6"/>
    </row>
    <row r="6" customFormat="false" ht="45.75" hidden="false" customHeight="true" outlineLevel="0" collapsed="false">
      <c r="A6" s="6" t="s">
        <v>114</v>
      </c>
      <c r="B6" s="6" t="s">
        <v>115</v>
      </c>
      <c r="C6" s="6" t="s">
        <v>29</v>
      </c>
      <c r="D6" s="6" t="s">
        <v>116</v>
      </c>
      <c r="E6" s="6" t="s">
        <v>31</v>
      </c>
      <c r="F6" s="6" t="s">
        <v>117</v>
      </c>
      <c r="G6" s="6" t="s">
        <v>118</v>
      </c>
      <c r="H6" s="6" t="s">
        <v>119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120</v>
      </c>
      <c r="B7" s="6" t="s">
        <v>121</v>
      </c>
      <c r="C7" s="6" t="s">
        <v>29</v>
      </c>
      <c r="D7" s="6" t="s">
        <v>66</v>
      </c>
      <c r="E7" s="6" t="s">
        <v>31</v>
      </c>
      <c r="F7" s="6" t="s">
        <v>103</v>
      </c>
      <c r="G7" s="6" t="s">
        <v>122</v>
      </c>
      <c r="H7" s="6" t="s">
        <v>123</v>
      </c>
      <c r="I7" s="6" t="s">
        <v>3</v>
      </c>
      <c r="J7" s="6"/>
      <c r="K7" s="6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23.25" hidden="false" customHeight="true" outlineLevel="0" collapsed="false">
      <c r="A2" s="6" t="s">
        <v>124</v>
      </c>
      <c r="B2" s="6" t="s">
        <v>125</v>
      </c>
      <c r="C2" s="6" t="s">
        <v>44</v>
      </c>
      <c r="D2" s="6" t="s">
        <v>30</v>
      </c>
      <c r="E2" s="6" t="s">
        <v>31</v>
      </c>
      <c r="F2" s="6" t="s">
        <v>126</v>
      </c>
      <c r="G2" s="6" t="s">
        <v>127</v>
      </c>
      <c r="H2" s="6" t="s">
        <v>128</v>
      </c>
      <c r="I2" s="6" t="s">
        <v>4</v>
      </c>
      <c r="J2" s="6" t="s">
        <v>129</v>
      </c>
      <c r="K2" s="6"/>
    </row>
    <row r="3" customFormat="false" ht="34.5" hidden="false" customHeight="true" outlineLevel="0" collapsed="false">
      <c r="A3" s="6" t="s">
        <v>130</v>
      </c>
      <c r="B3" s="6" t="s">
        <v>131</v>
      </c>
      <c r="C3" s="6" t="s">
        <v>132</v>
      </c>
      <c r="D3" s="6" t="s">
        <v>30</v>
      </c>
      <c r="E3" s="6" t="s">
        <v>31</v>
      </c>
      <c r="F3" s="6" t="s">
        <v>133</v>
      </c>
      <c r="G3" s="6" t="s">
        <v>134</v>
      </c>
      <c r="H3" s="6" t="s">
        <v>135</v>
      </c>
      <c r="I3" s="6" t="s">
        <v>4</v>
      </c>
      <c r="J3" s="6" t="s">
        <v>136</v>
      </c>
      <c r="K3" s="6"/>
    </row>
    <row r="4" customFormat="false" ht="34.5" hidden="false" customHeight="true" outlineLevel="0" collapsed="false">
      <c r="A4" s="6" t="s">
        <v>137</v>
      </c>
      <c r="B4" s="6" t="s">
        <v>138</v>
      </c>
      <c r="C4" s="6" t="s">
        <v>44</v>
      </c>
      <c r="D4" s="6" t="s">
        <v>30</v>
      </c>
      <c r="E4" s="6" t="s">
        <v>31</v>
      </c>
      <c r="F4" s="6" t="s">
        <v>126</v>
      </c>
      <c r="G4" s="6" t="s">
        <v>139</v>
      </c>
      <c r="H4" s="6" t="s">
        <v>140</v>
      </c>
      <c r="I4" s="6" t="s">
        <v>4</v>
      </c>
      <c r="J4" s="6" t="s">
        <v>141</v>
      </c>
      <c r="K4" s="6"/>
    </row>
    <row r="5" customFormat="false" ht="34.5" hidden="false" customHeight="true" outlineLevel="0" collapsed="false">
      <c r="A5" s="6" t="s">
        <v>142</v>
      </c>
      <c r="B5" s="6" t="s">
        <v>143</v>
      </c>
      <c r="C5" s="6" t="s">
        <v>44</v>
      </c>
      <c r="D5" s="6" t="s">
        <v>66</v>
      </c>
      <c r="E5" s="6" t="s">
        <v>31</v>
      </c>
      <c r="F5" s="6" t="s">
        <v>144</v>
      </c>
      <c r="G5" s="6" t="s">
        <v>145</v>
      </c>
      <c r="H5" s="6" t="s">
        <v>146</v>
      </c>
      <c r="I5" s="6" t="s">
        <v>4</v>
      </c>
      <c r="J5" s="6" t="s">
        <v>147</v>
      </c>
      <c r="K5" s="6"/>
    </row>
    <row r="6" customFormat="false" ht="34.5" hidden="false" customHeight="true" outlineLevel="0" collapsed="false">
      <c r="A6" s="6" t="s">
        <v>148</v>
      </c>
      <c r="B6" s="6" t="s">
        <v>149</v>
      </c>
      <c r="C6" s="6" t="s">
        <v>44</v>
      </c>
      <c r="D6" s="6" t="s">
        <v>30</v>
      </c>
      <c r="E6" s="6" t="s">
        <v>45</v>
      </c>
      <c r="F6" s="6" t="s">
        <v>144</v>
      </c>
      <c r="G6" s="6" t="s">
        <v>150</v>
      </c>
      <c r="H6" s="6" t="s">
        <v>151</v>
      </c>
      <c r="I6" s="6" t="s">
        <v>4</v>
      </c>
      <c r="J6" s="6" t="s">
        <v>152</v>
      </c>
      <c r="K6" s="6"/>
    </row>
    <row r="7" customFormat="false" ht="34.5" hidden="false" customHeight="true" outlineLevel="0" collapsed="false">
      <c r="A7" s="6" t="s">
        <v>153</v>
      </c>
      <c r="B7" s="6" t="s">
        <v>154</v>
      </c>
      <c r="C7" s="6" t="s">
        <v>44</v>
      </c>
      <c r="D7" s="6" t="s">
        <v>39</v>
      </c>
      <c r="E7" s="6" t="s">
        <v>31</v>
      </c>
      <c r="F7" s="6" t="s">
        <v>144</v>
      </c>
      <c r="G7" s="6" t="s">
        <v>155</v>
      </c>
      <c r="H7" s="6" t="s">
        <v>156</v>
      </c>
      <c r="I7" s="6" t="s">
        <v>4</v>
      </c>
      <c r="J7" s="6" t="s">
        <v>157</v>
      </c>
      <c r="K7" s="6"/>
    </row>
    <row r="8" customFormat="false" ht="68.25" hidden="false" customHeight="true" outlineLevel="0" collapsed="false">
      <c r="A8" s="6" t="s">
        <v>158</v>
      </c>
      <c r="B8" s="6" t="s">
        <v>159</v>
      </c>
      <c r="C8" s="6" t="s">
        <v>132</v>
      </c>
      <c r="D8" s="6" t="s">
        <v>66</v>
      </c>
      <c r="E8" s="6" t="s">
        <v>31</v>
      </c>
      <c r="F8" s="6" t="s">
        <v>160</v>
      </c>
      <c r="G8" s="6" t="s">
        <v>161</v>
      </c>
      <c r="H8" s="6" t="s">
        <v>162</v>
      </c>
      <c r="I8" s="6" t="s">
        <v>4</v>
      </c>
      <c r="J8" s="6" t="s">
        <v>163</v>
      </c>
      <c r="K8" s="6"/>
    </row>
    <row r="9" customFormat="false" ht="68.25" hidden="false" customHeight="true" outlineLevel="0" collapsed="false">
      <c r="A9" s="6" t="s">
        <v>164</v>
      </c>
      <c r="B9" s="6" t="s">
        <v>165</v>
      </c>
      <c r="C9" s="6" t="s">
        <v>132</v>
      </c>
      <c r="D9" s="6" t="s">
        <v>30</v>
      </c>
      <c r="E9" s="6" t="s">
        <v>45</v>
      </c>
      <c r="F9" s="6" t="s">
        <v>160</v>
      </c>
      <c r="G9" s="6" t="s">
        <v>166</v>
      </c>
      <c r="H9" s="6" t="s">
        <v>167</v>
      </c>
      <c r="I9" s="6" t="s">
        <v>4</v>
      </c>
      <c r="J9" s="6" t="s">
        <v>168</v>
      </c>
      <c r="K9" s="6"/>
    </row>
    <row r="10" customFormat="false" ht="34.5" hidden="false" customHeight="true" outlineLevel="0" collapsed="false">
      <c r="A10" s="6" t="s">
        <v>169</v>
      </c>
      <c r="B10" s="6" t="s">
        <v>170</v>
      </c>
      <c r="C10" s="6" t="s">
        <v>44</v>
      </c>
      <c r="D10" s="6" t="s">
        <v>30</v>
      </c>
      <c r="E10" s="6" t="s">
        <v>45</v>
      </c>
      <c r="F10" s="6" t="s">
        <v>126</v>
      </c>
      <c r="G10" s="6" t="s">
        <v>171</v>
      </c>
      <c r="H10" s="6" t="s">
        <v>172</v>
      </c>
      <c r="I10" s="6" t="s">
        <v>5</v>
      </c>
      <c r="J10" s="6" t="s">
        <v>173</v>
      </c>
      <c r="K10" s="6" t="s">
        <v>174</v>
      </c>
    </row>
    <row r="11" customFormat="false" ht="68.25" hidden="false" customHeight="true" outlineLevel="0" collapsed="false">
      <c r="A11" s="6" t="s">
        <v>175</v>
      </c>
      <c r="B11" s="6" t="s">
        <v>176</v>
      </c>
      <c r="C11" s="6" t="s">
        <v>132</v>
      </c>
      <c r="D11" s="6" t="s">
        <v>66</v>
      </c>
      <c r="E11" s="6" t="s">
        <v>45</v>
      </c>
      <c r="F11" s="6" t="s">
        <v>160</v>
      </c>
      <c r="G11" s="6" t="s">
        <v>177</v>
      </c>
      <c r="H11" s="6" t="s">
        <v>178</v>
      </c>
      <c r="I11" s="6" t="s">
        <v>4</v>
      </c>
      <c r="J11" s="6" t="s">
        <v>179</v>
      </c>
      <c r="K11" s="6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45.75" hidden="false" customHeight="true" outlineLevel="0" collapsed="false">
      <c r="A2" s="6" t="s">
        <v>180</v>
      </c>
      <c r="B2" s="6" t="s">
        <v>181</v>
      </c>
      <c r="C2" s="6" t="s">
        <v>44</v>
      </c>
      <c r="D2" s="6" t="s">
        <v>182</v>
      </c>
      <c r="E2" s="6" t="s">
        <v>31</v>
      </c>
      <c r="F2" s="6" t="s">
        <v>183</v>
      </c>
      <c r="G2" s="6" t="s">
        <v>184</v>
      </c>
      <c r="H2" s="6" t="s">
        <v>185</v>
      </c>
      <c r="I2" s="6" t="s">
        <v>4</v>
      </c>
      <c r="J2" s="6" t="s">
        <v>186</v>
      </c>
      <c r="K2" s="6"/>
    </row>
    <row r="3" customFormat="false" ht="45.75" hidden="false" customHeight="true" outlineLevel="0" collapsed="false">
      <c r="A3" s="6" t="s">
        <v>187</v>
      </c>
      <c r="B3" s="6" t="s">
        <v>188</v>
      </c>
      <c r="C3" s="6" t="s">
        <v>29</v>
      </c>
      <c r="D3" s="6" t="s">
        <v>182</v>
      </c>
      <c r="E3" s="6" t="s">
        <v>31</v>
      </c>
      <c r="F3" s="6" t="s">
        <v>189</v>
      </c>
      <c r="G3" s="6" t="s">
        <v>190</v>
      </c>
      <c r="H3" s="6" t="s">
        <v>185</v>
      </c>
      <c r="I3" s="6" t="s">
        <v>4</v>
      </c>
      <c r="J3" s="6" t="s">
        <v>191</v>
      </c>
      <c r="K3" s="6"/>
    </row>
    <row r="4" customFormat="false" ht="45.75" hidden="false" customHeight="true" outlineLevel="0" collapsed="false">
      <c r="A4" s="6" t="s">
        <v>192</v>
      </c>
      <c r="B4" s="6" t="s">
        <v>193</v>
      </c>
      <c r="C4" s="6" t="s">
        <v>29</v>
      </c>
      <c r="D4" s="6" t="s">
        <v>182</v>
      </c>
      <c r="E4" s="6" t="s">
        <v>45</v>
      </c>
      <c r="F4" s="6" t="s">
        <v>189</v>
      </c>
      <c r="G4" s="6" t="s">
        <v>194</v>
      </c>
      <c r="H4" s="6" t="s">
        <v>185</v>
      </c>
      <c r="I4" s="6" t="s">
        <v>4</v>
      </c>
      <c r="J4" s="6" t="s">
        <v>195</v>
      </c>
      <c r="K4" s="6"/>
    </row>
    <row r="5" customFormat="false" ht="45.75" hidden="false" customHeight="true" outlineLevel="0" collapsed="false">
      <c r="A5" s="6" t="s">
        <v>196</v>
      </c>
      <c r="B5" s="6" t="s">
        <v>197</v>
      </c>
      <c r="C5" s="6" t="s">
        <v>29</v>
      </c>
      <c r="D5" s="6" t="s">
        <v>182</v>
      </c>
      <c r="E5" s="6" t="s">
        <v>45</v>
      </c>
      <c r="F5" s="6" t="s">
        <v>189</v>
      </c>
      <c r="G5" s="6" t="s">
        <v>198</v>
      </c>
      <c r="H5" s="6" t="s">
        <v>185</v>
      </c>
      <c r="I5" s="6" t="s">
        <v>4</v>
      </c>
      <c r="J5" s="6" t="s">
        <v>199</v>
      </c>
      <c r="K5" s="6"/>
    </row>
    <row r="6" customFormat="false" ht="23.25" hidden="false" customHeight="true" outlineLevel="0" collapsed="false">
      <c r="A6" s="6" t="s">
        <v>200</v>
      </c>
      <c r="B6" s="6" t="s">
        <v>201</v>
      </c>
      <c r="C6" s="6" t="s">
        <v>29</v>
      </c>
      <c r="D6" s="6" t="s">
        <v>202</v>
      </c>
      <c r="E6" s="6" t="s">
        <v>45</v>
      </c>
      <c r="F6" s="6" t="s">
        <v>203</v>
      </c>
      <c r="G6" s="6" t="s">
        <v>204</v>
      </c>
      <c r="H6" s="6" t="s">
        <v>205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206</v>
      </c>
      <c r="B7" s="6" t="s">
        <v>207</v>
      </c>
      <c r="C7" s="6" t="s">
        <v>29</v>
      </c>
      <c r="D7" s="6" t="s">
        <v>202</v>
      </c>
      <c r="E7" s="6" t="s">
        <v>45</v>
      </c>
      <c r="F7" s="6" t="s">
        <v>208</v>
      </c>
      <c r="G7" s="6" t="s">
        <v>209</v>
      </c>
      <c r="H7" s="6" t="s">
        <v>210</v>
      </c>
      <c r="I7" s="6" t="s">
        <v>5</v>
      </c>
      <c r="J7" s="6" t="s">
        <v>211</v>
      </c>
      <c r="K7" s="6" t="s">
        <v>212</v>
      </c>
    </row>
    <row r="8" customFormat="false" ht="23.25" hidden="false" customHeight="true" outlineLevel="0" collapsed="false">
      <c r="A8" s="6" t="s">
        <v>213</v>
      </c>
      <c r="B8" s="6" t="s">
        <v>214</v>
      </c>
      <c r="C8" s="6" t="s">
        <v>29</v>
      </c>
      <c r="D8" s="6" t="s">
        <v>202</v>
      </c>
      <c r="E8" s="6" t="s">
        <v>31</v>
      </c>
      <c r="F8" s="6" t="s">
        <v>32</v>
      </c>
      <c r="G8" s="6" t="s">
        <v>215</v>
      </c>
      <c r="H8" s="6" t="s">
        <v>216</v>
      </c>
      <c r="I8" s="6" t="s">
        <v>3</v>
      </c>
      <c r="J8" s="6"/>
      <c r="K8" s="6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customFormat="false" ht="45.75" hidden="false" customHeight="true" outlineLevel="0" collapsed="false">
      <c r="A2" s="6" t="s">
        <v>217</v>
      </c>
      <c r="B2" s="6" t="s">
        <v>218</v>
      </c>
      <c r="C2" s="6" t="s">
        <v>29</v>
      </c>
      <c r="D2" s="6" t="s">
        <v>30</v>
      </c>
      <c r="E2" s="6" t="s">
        <v>31</v>
      </c>
      <c r="F2" s="6" t="s">
        <v>219</v>
      </c>
      <c r="G2" s="6" t="s">
        <v>220</v>
      </c>
      <c r="H2" s="6" t="s">
        <v>221</v>
      </c>
      <c r="I2" s="6" t="s">
        <v>4</v>
      </c>
      <c r="J2" s="6" t="s">
        <v>222</v>
      </c>
      <c r="K2" s="6"/>
    </row>
    <row r="3" customFormat="false" ht="45.75" hidden="false" customHeight="true" outlineLevel="0" collapsed="false">
      <c r="A3" s="6" t="s">
        <v>223</v>
      </c>
      <c r="B3" s="6" t="s">
        <v>224</v>
      </c>
      <c r="C3" s="6" t="s">
        <v>38</v>
      </c>
      <c r="D3" s="6" t="s">
        <v>39</v>
      </c>
      <c r="E3" s="6" t="s">
        <v>31</v>
      </c>
      <c r="F3" s="6" t="s">
        <v>219</v>
      </c>
      <c r="G3" s="6" t="s">
        <v>225</v>
      </c>
      <c r="H3" s="6" t="s">
        <v>226</v>
      </c>
      <c r="I3" s="6" t="s">
        <v>4</v>
      </c>
      <c r="J3" s="6" t="s">
        <v>227</v>
      </c>
      <c r="K3" s="6"/>
    </row>
    <row r="4" customFormat="false" ht="45.75" hidden="false" customHeight="true" outlineLevel="0" collapsed="false">
      <c r="A4" s="6" t="s">
        <v>228</v>
      </c>
      <c r="B4" s="6" t="s">
        <v>229</v>
      </c>
      <c r="C4" s="6" t="s">
        <v>29</v>
      </c>
      <c r="D4" s="6" t="s">
        <v>66</v>
      </c>
      <c r="E4" s="6" t="s">
        <v>45</v>
      </c>
      <c r="F4" s="6" t="s">
        <v>219</v>
      </c>
      <c r="G4" s="6" t="s">
        <v>230</v>
      </c>
      <c r="H4" s="6" t="s">
        <v>231</v>
      </c>
      <c r="I4" s="6" t="s">
        <v>4</v>
      </c>
      <c r="J4" s="6" t="s">
        <v>232</v>
      </c>
      <c r="K4" s="6"/>
    </row>
    <row r="5" customFormat="false" ht="15" hidden="false" customHeight="true" outlineLevel="0" collapsed="false">
      <c r="I5" s="7"/>
    </row>
    <row r="6" customFormat="false" ht="15" hidden="false" customHeight="true" outlineLevel="0" collapsed="false">
      <c r="I6" s="7"/>
    </row>
    <row r="7" customFormat="false" ht="15" hidden="false" customHeight="true" outlineLevel="0" collapsed="false">
      <c r="I7" s="7"/>
    </row>
    <row r="8" customFormat="false" ht="15" hidden="false" customHeight="true" outlineLevel="0" collapsed="false">
      <c r="I8" s="7"/>
    </row>
    <row r="9" customFormat="false" ht="15" hidden="false" customHeight="true" outlineLevel="0" collapsed="false">
      <c r="I9" s="7"/>
    </row>
    <row r="10" customFormat="false" ht="15" hidden="false" customHeight="true" outlineLevel="0" collapsed="false">
      <c r="I10" s="7"/>
    </row>
    <row r="11" customFormat="false" ht="15" hidden="false" customHeight="true" outlineLevel="0" collapsed="false">
      <c r="I11" s="7"/>
    </row>
    <row r="12" customFormat="false" ht="15" hidden="false" customHeight="true" outlineLevel="0" collapsed="false">
      <c r="I12" s="7"/>
    </row>
    <row r="13" customFormat="false" ht="15" hidden="false" customHeight="true" outlineLevel="0" collapsed="false">
      <c r="I13" s="7"/>
    </row>
    <row r="14" customFormat="false" ht="15" hidden="false" customHeight="true" outlineLevel="0" collapsed="false">
      <c r="I14" s="7"/>
    </row>
    <row r="15" customFormat="false" ht="15" hidden="false" customHeight="true" outlineLevel="0" collapsed="false">
      <c r="I15" s="7"/>
    </row>
    <row r="16" customFormat="false" ht="15" hidden="false" customHeight="true" outlineLevel="0" collapsed="false">
      <c r="I16" s="7"/>
    </row>
    <row r="17" customFormat="false" ht="15" hidden="false" customHeight="true" outlineLevel="0" collapsed="false">
      <c r="I17" s="7"/>
    </row>
    <row r="18" customFormat="false" ht="15" hidden="false" customHeight="true" outlineLevel="0" collapsed="false">
      <c r="I18" s="7"/>
    </row>
    <row r="19" customFormat="false" ht="15" hidden="false" customHeight="true" outlineLevel="0" collapsed="false">
      <c r="I19" s="7"/>
    </row>
    <row r="20" customFormat="false" ht="15" hidden="false" customHeight="true" outlineLevel="0" collapsed="false">
      <c r="I20" s="7"/>
    </row>
    <row r="21" customFormat="false" ht="15" hidden="false" customHeight="true" outlineLevel="0" collapsed="false">
      <c r="I21" s="7"/>
    </row>
    <row r="22" customFormat="false" ht="15" hidden="false" customHeight="true" outlineLevel="0" collapsed="false">
      <c r="I22" s="7"/>
    </row>
    <row r="23" customFormat="false" ht="15" hidden="false" customHeight="true" outlineLevel="0" collapsed="false">
      <c r="I23" s="7"/>
    </row>
    <row r="24" customFormat="false" ht="15" hidden="false" customHeight="true" outlineLevel="0" collapsed="false">
      <c r="I24" s="7"/>
    </row>
    <row r="25" customFormat="false" ht="15" hidden="false" customHeight="true" outlineLevel="0" collapsed="false">
      <c r="I25" s="7"/>
    </row>
    <row r="26" customFormat="false" ht="15" hidden="false" customHeight="true" outlineLevel="0" collapsed="false">
      <c r="I26" s="7"/>
    </row>
    <row r="27" customFormat="false" ht="15" hidden="false" customHeight="true" outlineLevel="0" collapsed="false">
      <c r="I27" s="7"/>
    </row>
    <row r="28" customFormat="false" ht="15" hidden="false" customHeight="true" outlineLevel="0" collapsed="false">
      <c r="I28" s="7"/>
    </row>
    <row r="29" customFormat="false" ht="15" hidden="false" customHeight="true" outlineLevel="0" collapsed="false">
      <c r="I29" s="7"/>
    </row>
    <row r="30" customFormat="false" ht="15" hidden="false" customHeight="true" outlineLevel="0" collapsed="false">
      <c r="I30" s="7"/>
    </row>
    <row r="31" customFormat="false" ht="15" hidden="false" customHeight="true" outlineLevel="0" collapsed="false">
      <c r="I31" s="7"/>
    </row>
    <row r="32" customFormat="false" ht="15" hidden="false" customHeight="true" outlineLevel="0" collapsed="false">
      <c r="I32" s="7"/>
    </row>
    <row r="33" customFormat="false" ht="15" hidden="false" customHeight="true" outlineLevel="0" collapsed="false">
      <c r="I33" s="7"/>
    </row>
    <row r="34" customFormat="false" ht="15" hidden="false" customHeight="true" outlineLevel="0" collapsed="false">
      <c r="I34" s="7"/>
    </row>
    <row r="35" customFormat="false" ht="15" hidden="false" customHeight="true" outlineLevel="0" collapsed="false">
      <c r="I35" s="7"/>
    </row>
    <row r="36" customFormat="false" ht="15" hidden="false" customHeight="true" outlineLevel="0" collapsed="false">
      <c r="I36" s="7"/>
    </row>
    <row r="37" customFormat="false" ht="15" hidden="false" customHeight="true" outlineLevel="0" collapsed="false">
      <c r="I37" s="7"/>
    </row>
    <row r="38" customFormat="false" ht="15" hidden="false" customHeight="true" outlineLevel="0" collapsed="false">
      <c r="I38" s="7"/>
    </row>
    <row r="39" customFormat="false" ht="15" hidden="false" customHeight="true" outlineLevel="0" collapsed="false">
      <c r="I39" s="7"/>
    </row>
    <row r="40" customFormat="false" ht="15" hidden="false" customHeight="true" outlineLevel="0" collapsed="false">
      <c r="I40" s="7"/>
    </row>
    <row r="41" customFormat="false" ht="15" hidden="false" customHeight="true" outlineLevel="0" collapsed="false">
      <c r="I41" s="7"/>
    </row>
    <row r="42" customFormat="false" ht="15" hidden="false" customHeight="true" outlineLevel="0" collapsed="false">
      <c r="I42" s="7"/>
    </row>
    <row r="43" customFormat="false" ht="15" hidden="false" customHeight="true" outlineLevel="0" collapsed="false">
      <c r="I43" s="7"/>
    </row>
    <row r="44" customFormat="false" ht="15" hidden="false" customHeight="true" outlineLevel="0" collapsed="false">
      <c r="I44" s="7"/>
    </row>
    <row r="45" customFormat="false" ht="15" hidden="false" customHeight="true" outlineLevel="0" collapsed="false">
      <c r="I45" s="7"/>
    </row>
    <row r="46" customFormat="false" ht="15" hidden="false" customHeight="true" outlineLevel="0" collapsed="false">
      <c r="I46" s="7"/>
    </row>
    <row r="47" customFormat="false" ht="15" hidden="false" customHeight="true" outlineLevel="0" collapsed="false">
      <c r="I47" s="7"/>
    </row>
    <row r="48" customFormat="false" ht="15" hidden="false" customHeight="true" outlineLevel="0" collapsed="false">
      <c r="I48" s="7"/>
    </row>
    <row r="49" customFormat="false" ht="15" hidden="false" customHeight="true" outlineLevel="0" collapsed="false">
      <c r="I49" s="7"/>
    </row>
    <row r="50" customFormat="false" ht="15" hidden="false" customHeight="true" outlineLevel="0" collapsed="false">
      <c r="I50" s="7"/>
    </row>
    <row r="51" customFormat="false" ht="15" hidden="false" customHeight="true" outlineLevel="0" collapsed="false">
      <c r="I51" s="7"/>
    </row>
    <row r="52" customFormat="false" ht="15" hidden="false" customHeight="true" outlineLevel="0" collapsed="false">
      <c r="I52" s="7"/>
    </row>
    <row r="53" customFormat="false" ht="15" hidden="false" customHeight="true" outlineLevel="0" collapsed="false">
      <c r="I53" s="7"/>
    </row>
    <row r="54" customFormat="false" ht="15" hidden="false" customHeight="true" outlineLevel="0" collapsed="false">
      <c r="I54" s="7"/>
    </row>
    <row r="55" customFormat="false" ht="15" hidden="false" customHeight="true" outlineLevel="0" collapsed="false">
      <c r="I55" s="7"/>
    </row>
    <row r="56" customFormat="false" ht="15" hidden="false" customHeight="true" outlineLevel="0" collapsed="false">
      <c r="I56" s="7"/>
    </row>
    <row r="57" customFormat="false" ht="15" hidden="false" customHeight="true" outlineLevel="0" collapsed="false">
      <c r="I57" s="7"/>
    </row>
    <row r="58" customFormat="false" ht="15" hidden="false" customHeight="true" outlineLevel="0" collapsed="false">
      <c r="I58" s="7"/>
    </row>
    <row r="59" customFormat="false" ht="15" hidden="false" customHeight="true" outlineLevel="0" collapsed="false">
      <c r="I59" s="7"/>
    </row>
    <row r="60" customFormat="false" ht="15" hidden="false" customHeight="true" outlineLevel="0" collapsed="false">
      <c r="I60" s="7"/>
    </row>
    <row r="61" customFormat="false" ht="15" hidden="false" customHeight="true" outlineLevel="0" collapsed="false">
      <c r="I61" s="7"/>
    </row>
    <row r="62" customFormat="false" ht="15" hidden="false" customHeight="true" outlineLevel="0" collapsed="false">
      <c r="I62" s="7"/>
    </row>
    <row r="63" customFormat="false" ht="15" hidden="false" customHeight="true" outlineLevel="0" collapsed="false">
      <c r="I63" s="7"/>
    </row>
    <row r="64" customFormat="false" ht="15" hidden="false" customHeight="true" outlineLevel="0" collapsed="false">
      <c r="I64" s="7"/>
    </row>
    <row r="65" customFormat="false" ht="15" hidden="false" customHeight="true" outlineLevel="0" collapsed="false">
      <c r="I65" s="7"/>
    </row>
    <row r="66" customFormat="false" ht="15" hidden="false" customHeight="true" outlineLevel="0" collapsed="false">
      <c r="I66" s="7"/>
    </row>
    <row r="67" customFormat="false" ht="15" hidden="false" customHeight="true" outlineLevel="0" collapsed="false">
      <c r="I67" s="7"/>
    </row>
    <row r="68" customFormat="false" ht="15" hidden="false" customHeight="true" outlineLevel="0" collapsed="false">
      <c r="I68" s="7"/>
    </row>
    <row r="69" customFormat="false" ht="15" hidden="false" customHeight="true" outlineLevel="0" collapsed="false">
      <c r="I69" s="7"/>
    </row>
    <row r="70" customFormat="false" ht="15" hidden="false" customHeight="true" outlineLevel="0" collapsed="false">
      <c r="I70" s="7"/>
    </row>
    <row r="71" customFormat="false" ht="15" hidden="false" customHeight="true" outlineLevel="0" collapsed="false">
      <c r="I71" s="7"/>
    </row>
    <row r="72" customFormat="false" ht="15" hidden="false" customHeight="true" outlineLevel="0" collapsed="false">
      <c r="I72" s="7"/>
    </row>
    <row r="73" customFormat="false" ht="15" hidden="false" customHeight="true" outlineLevel="0" collapsed="false">
      <c r="I73" s="7"/>
    </row>
    <row r="74" customFormat="false" ht="15" hidden="false" customHeight="true" outlineLevel="0" collapsed="false">
      <c r="I74" s="7"/>
    </row>
    <row r="75" customFormat="false" ht="15" hidden="false" customHeight="true" outlineLevel="0" collapsed="false">
      <c r="I75" s="7"/>
    </row>
    <row r="76" customFormat="false" ht="15" hidden="false" customHeight="true" outlineLevel="0" collapsed="false">
      <c r="I76" s="7"/>
    </row>
    <row r="77" customFormat="false" ht="15" hidden="false" customHeight="true" outlineLevel="0" collapsed="false">
      <c r="I77" s="7"/>
    </row>
    <row r="78" customFormat="false" ht="15" hidden="false" customHeight="true" outlineLevel="0" collapsed="false">
      <c r="I78" s="7"/>
    </row>
    <row r="79" customFormat="false" ht="15" hidden="false" customHeight="true" outlineLevel="0" collapsed="false">
      <c r="I79" s="7"/>
    </row>
    <row r="80" customFormat="false" ht="15" hidden="false" customHeight="true" outlineLevel="0" collapsed="false">
      <c r="I80" s="7"/>
    </row>
    <row r="81" customFormat="false" ht="15" hidden="false" customHeight="true" outlineLevel="0" collapsed="false">
      <c r="I81" s="7"/>
    </row>
    <row r="82" customFormat="false" ht="15" hidden="false" customHeight="true" outlineLevel="0" collapsed="false">
      <c r="I82" s="7"/>
    </row>
    <row r="83" customFormat="false" ht="15" hidden="false" customHeight="true" outlineLevel="0" collapsed="false">
      <c r="I83" s="7"/>
    </row>
    <row r="84" customFormat="false" ht="15" hidden="false" customHeight="true" outlineLevel="0" collapsed="false">
      <c r="I84" s="7"/>
    </row>
    <row r="85" customFormat="false" ht="15" hidden="false" customHeight="true" outlineLevel="0" collapsed="false">
      <c r="I85" s="7"/>
    </row>
    <row r="86" customFormat="false" ht="15" hidden="false" customHeight="true" outlineLevel="0" collapsed="false">
      <c r="I86" s="7"/>
    </row>
    <row r="87" customFormat="false" ht="15" hidden="false" customHeight="true" outlineLevel="0" collapsed="false">
      <c r="I87" s="7"/>
    </row>
    <row r="88" customFormat="false" ht="15" hidden="false" customHeight="true" outlineLevel="0" collapsed="false">
      <c r="I88" s="7"/>
    </row>
    <row r="89" customFormat="false" ht="15" hidden="false" customHeight="true" outlineLevel="0" collapsed="false">
      <c r="I89" s="7"/>
    </row>
    <row r="90" customFormat="false" ht="15" hidden="false" customHeight="true" outlineLevel="0" collapsed="false">
      <c r="I90" s="7"/>
    </row>
    <row r="91" customFormat="false" ht="15" hidden="false" customHeight="true" outlineLevel="0" collapsed="false">
      <c r="I91" s="7"/>
    </row>
    <row r="92" customFormat="false" ht="15" hidden="false" customHeight="true" outlineLevel="0" collapsed="false">
      <c r="I92" s="7"/>
    </row>
    <row r="93" customFormat="false" ht="15" hidden="false" customHeight="true" outlineLevel="0" collapsed="false">
      <c r="I93" s="7"/>
    </row>
    <row r="94" customFormat="false" ht="15" hidden="false" customHeight="true" outlineLevel="0" collapsed="false">
      <c r="I94" s="7"/>
    </row>
    <row r="95" customFormat="false" ht="15" hidden="false" customHeight="true" outlineLevel="0" collapsed="false">
      <c r="I95" s="7"/>
    </row>
    <row r="96" customFormat="false" ht="15" hidden="false" customHeight="true" outlineLevel="0" collapsed="false">
      <c r="I96" s="7"/>
    </row>
    <row r="97" customFormat="false" ht="15" hidden="false" customHeight="true" outlineLevel="0" collapsed="false">
      <c r="I97" s="7"/>
    </row>
    <row r="98" customFormat="false" ht="15" hidden="false" customHeight="true" outlineLevel="0" collapsed="false">
      <c r="I98" s="7"/>
    </row>
    <row r="99" customFormat="false" ht="15" hidden="false" customHeight="true" outlineLevel="0" collapsed="false">
      <c r="I99" s="7"/>
    </row>
    <row r="100" customFormat="false" ht="15" hidden="false" customHeight="true" outlineLevel="0" collapsed="false">
      <c r="I100" s="7"/>
    </row>
    <row r="101" customFormat="false" ht="15" hidden="false" customHeight="true" outlineLevel="0" collapsed="false">
      <c r="I101" s="7"/>
    </row>
    <row r="102" customFormat="false" ht="15" hidden="false" customHeight="true" outlineLevel="0" collapsed="false">
      <c r="I102" s="7"/>
    </row>
    <row r="103" customFormat="false" ht="15" hidden="false" customHeight="true" outlineLevel="0" collapsed="false">
      <c r="I103" s="7"/>
    </row>
    <row r="104" customFormat="false" ht="15" hidden="false" customHeight="true" outlineLevel="0" collapsed="false">
      <c r="I104" s="7"/>
    </row>
    <row r="105" customFormat="false" ht="15" hidden="false" customHeight="true" outlineLevel="0" collapsed="false">
      <c r="I105" s="7"/>
    </row>
    <row r="106" customFormat="false" ht="15" hidden="false" customHeight="true" outlineLevel="0" collapsed="false">
      <c r="I106" s="7"/>
    </row>
    <row r="107" customFormat="false" ht="15" hidden="false" customHeight="true" outlineLevel="0" collapsed="false">
      <c r="I107" s="7"/>
    </row>
    <row r="108" customFormat="false" ht="15" hidden="false" customHeight="true" outlineLevel="0" collapsed="false">
      <c r="I108" s="7"/>
    </row>
    <row r="109" customFormat="false" ht="15" hidden="false" customHeight="true" outlineLevel="0" collapsed="false">
      <c r="I109" s="7"/>
    </row>
    <row r="110" customFormat="false" ht="15" hidden="false" customHeight="true" outlineLevel="0" collapsed="false">
      <c r="I110" s="7"/>
    </row>
    <row r="111" customFormat="false" ht="15" hidden="false" customHeight="true" outlineLevel="0" collapsed="false">
      <c r="I111" s="7"/>
    </row>
    <row r="112" customFormat="false" ht="15" hidden="false" customHeight="true" outlineLevel="0" collapsed="false">
      <c r="I112" s="7"/>
    </row>
    <row r="113" customFormat="false" ht="15" hidden="false" customHeight="true" outlineLevel="0" collapsed="false">
      <c r="I113" s="7"/>
    </row>
    <row r="114" customFormat="false" ht="15" hidden="false" customHeight="true" outlineLevel="0" collapsed="false">
      <c r="I114" s="7"/>
    </row>
    <row r="115" customFormat="false" ht="15" hidden="false" customHeight="true" outlineLevel="0" collapsed="false">
      <c r="I115" s="7"/>
    </row>
    <row r="116" customFormat="false" ht="15" hidden="false" customHeight="true" outlineLevel="0" collapsed="false">
      <c r="I116" s="7"/>
    </row>
    <row r="117" customFormat="false" ht="15" hidden="false" customHeight="true" outlineLevel="0" collapsed="false">
      <c r="I117" s="7"/>
    </row>
    <row r="118" customFormat="false" ht="15" hidden="false" customHeight="true" outlineLevel="0" collapsed="false">
      <c r="I118" s="7"/>
    </row>
    <row r="119" customFormat="false" ht="15" hidden="false" customHeight="true" outlineLevel="0" collapsed="false">
      <c r="I119" s="7"/>
    </row>
    <row r="120" customFormat="false" ht="15" hidden="false" customHeight="true" outlineLevel="0" collapsed="false">
      <c r="I120" s="7"/>
    </row>
    <row r="121" customFormat="false" ht="15" hidden="false" customHeight="true" outlineLevel="0" collapsed="false">
      <c r="I121" s="7"/>
    </row>
    <row r="122" customFormat="false" ht="15" hidden="false" customHeight="true" outlineLevel="0" collapsed="false">
      <c r="I122" s="7"/>
    </row>
    <row r="123" customFormat="false" ht="15" hidden="false" customHeight="true" outlineLevel="0" collapsed="false">
      <c r="I123" s="7"/>
    </row>
    <row r="124" customFormat="false" ht="15" hidden="false" customHeight="true" outlineLevel="0" collapsed="false">
      <c r="I124" s="7"/>
    </row>
    <row r="125" customFormat="false" ht="15" hidden="false" customHeight="true" outlineLevel="0" collapsed="false">
      <c r="I125" s="7"/>
    </row>
    <row r="126" customFormat="false" ht="15" hidden="false" customHeight="true" outlineLevel="0" collapsed="false">
      <c r="I126" s="7"/>
    </row>
    <row r="127" customFormat="false" ht="15" hidden="false" customHeight="true" outlineLevel="0" collapsed="false">
      <c r="I127" s="7"/>
    </row>
    <row r="128" customFormat="false" ht="15" hidden="false" customHeight="true" outlineLevel="0" collapsed="false">
      <c r="I128" s="7"/>
    </row>
    <row r="129" customFormat="false" ht="15" hidden="false" customHeight="true" outlineLevel="0" collapsed="false">
      <c r="I129" s="7"/>
    </row>
    <row r="130" customFormat="false" ht="15" hidden="false" customHeight="true" outlineLevel="0" collapsed="false">
      <c r="I130" s="7"/>
    </row>
    <row r="131" customFormat="false" ht="15" hidden="false" customHeight="true" outlineLevel="0" collapsed="false">
      <c r="I131" s="7"/>
    </row>
    <row r="132" customFormat="false" ht="15" hidden="false" customHeight="true" outlineLevel="0" collapsed="false">
      <c r="I132" s="7"/>
    </row>
    <row r="133" customFormat="false" ht="15" hidden="false" customHeight="true" outlineLevel="0" collapsed="false">
      <c r="I133" s="7"/>
    </row>
    <row r="134" customFormat="false" ht="15" hidden="false" customHeight="true" outlineLevel="0" collapsed="false">
      <c r="I134" s="7"/>
    </row>
    <row r="135" customFormat="false" ht="15" hidden="false" customHeight="true" outlineLevel="0" collapsed="false">
      <c r="I135" s="7"/>
    </row>
    <row r="136" customFormat="false" ht="15" hidden="false" customHeight="true" outlineLevel="0" collapsed="false">
      <c r="I136" s="7"/>
    </row>
    <row r="137" customFormat="false" ht="15" hidden="false" customHeight="true" outlineLevel="0" collapsed="false">
      <c r="I137" s="7"/>
    </row>
    <row r="138" customFormat="false" ht="15" hidden="false" customHeight="true" outlineLevel="0" collapsed="false">
      <c r="I138" s="7"/>
    </row>
    <row r="139" customFormat="false" ht="15" hidden="false" customHeight="true" outlineLevel="0" collapsed="false">
      <c r="I139" s="7"/>
    </row>
    <row r="140" customFormat="false" ht="15" hidden="false" customHeight="true" outlineLevel="0" collapsed="false">
      <c r="I140" s="7"/>
    </row>
    <row r="141" customFormat="false" ht="15" hidden="false" customHeight="true" outlineLevel="0" collapsed="false">
      <c r="I141" s="7"/>
    </row>
    <row r="142" customFormat="false" ht="15" hidden="false" customHeight="true" outlineLevel="0" collapsed="false">
      <c r="I142" s="7"/>
    </row>
    <row r="143" customFormat="false" ht="15" hidden="false" customHeight="true" outlineLevel="0" collapsed="false">
      <c r="I143" s="7"/>
    </row>
    <row r="144" customFormat="false" ht="15" hidden="false" customHeight="true" outlineLevel="0" collapsed="false">
      <c r="I144" s="7"/>
    </row>
    <row r="145" customFormat="false" ht="15" hidden="false" customHeight="true" outlineLevel="0" collapsed="false">
      <c r="I145" s="7"/>
    </row>
    <row r="146" customFormat="false" ht="15" hidden="false" customHeight="true" outlineLevel="0" collapsed="false">
      <c r="I146" s="7"/>
    </row>
    <row r="147" customFormat="false" ht="15" hidden="false" customHeight="true" outlineLevel="0" collapsed="false">
      <c r="I147" s="7"/>
    </row>
    <row r="148" customFormat="false" ht="15" hidden="false" customHeight="true" outlineLevel="0" collapsed="false">
      <c r="I148" s="7"/>
    </row>
    <row r="149" customFormat="false" ht="15" hidden="false" customHeight="true" outlineLevel="0" collapsed="false">
      <c r="I149" s="7"/>
    </row>
    <row r="150" customFormat="false" ht="15" hidden="false" customHeight="true" outlineLevel="0" collapsed="false">
      <c r="I150" s="7"/>
    </row>
    <row r="151" customFormat="false" ht="15" hidden="false" customHeight="true" outlineLevel="0" collapsed="false">
      <c r="I151" s="7"/>
    </row>
    <row r="152" customFormat="false" ht="15" hidden="false" customHeight="true" outlineLevel="0" collapsed="false">
      <c r="I152" s="7"/>
    </row>
    <row r="153" customFormat="false" ht="15" hidden="false" customHeight="true" outlineLevel="0" collapsed="false">
      <c r="I153" s="7"/>
    </row>
    <row r="154" customFormat="false" ht="15" hidden="false" customHeight="true" outlineLevel="0" collapsed="false">
      <c r="I154" s="7"/>
    </row>
    <row r="155" customFormat="false" ht="15" hidden="false" customHeight="true" outlineLevel="0" collapsed="false">
      <c r="I155" s="7"/>
    </row>
    <row r="156" customFormat="false" ht="15" hidden="false" customHeight="true" outlineLevel="0" collapsed="false">
      <c r="I156" s="7"/>
    </row>
    <row r="157" customFormat="false" ht="15" hidden="false" customHeight="true" outlineLevel="0" collapsed="false">
      <c r="I157" s="7"/>
    </row>
    <row r="158" customFormat="false" ht="15" hidden="false" customHeight="true" outlineLevel="0" collapsed="false">
      <c r="I158" s="7"/>
    </row>
    <row r="159" customFormat="false" ht="15" hidden="false" customHeight="true" outlineLevel="0" collapsed="false">
      <c r="I159" s="7"/>
    </row>
    <row r="160" customFormat="false" ht="15" hidden="false" customHeight="true" outlineLevel="0" collapsed="false">
      <c r="I160" s="7"/>
    </row>
    <row r="161" customFormat="false" ht="15" hidden="false" customHeight="true" outlineLevel="0" collapsed="false">
      <c r="I161" s="7"/>
    </row>
    <row r="162" customFormat="false" ht="15" hidden="false" customHeight="true" outlineLevel="0" collapsed="false">
      <c r="I162" s="7"/>
    </row>
    <row r="163" customFormat="false" ht="15" hidden="false" customHeight="true" outlineLevel="0" collapsed="false">
      <c r="I163" s="7"/>
    </row>
    <row r="164" customFormat="false" ht="15" hidden="false" customHeight="true" outlineLevel="0" collapsed="false">
      <c r="I164" s="7"/>
    </row>
    <row r="165" customFormat="false" ht="15" hidden="false" customHeight="true" outlineLevel="0" collapsed="false">
      <c r="I165" s="7"/>
    </row>
    <row r="166" customFormat="false" ht="15" hidden="false" customHeight="true" outlineLevel="0" collapsed="false">
      <c r="I166" s="7"/>
    </row>
    <row r="167" customFormat="false" ht="15" hidden="false" customHeight="true" outlineLevel="0" collapsed="false">
      <c r="I167" s="7"/>
    </row>
    <row r="168" customFormat="false" ht="15" hidden="false" customHeight="true" outlineLevel="0" collapsed="false">
      <c r="I168" s="7"/>
    </row>
    <row r="169" customFormat="false" ht="15" hidden="false" customHeight="true" outlineLevel="0" collapsed="false">
      <c r="I169" s="7"/>
    </row>
    <row r="170" customFormat="false" ht="15" hidden="false" customHeight="true" outlineLevel="0" collapsed="false">
      <c r="I170" s="7"/>
    </row>
    <row r="171" customFormat="false" ht="15" hidden="false" customHeight="true" outlineLevel="0" collapsed="false">
      <c r="I171" s="7"/>
    </row>
    <row r="172" customFormat="false" ht="15" hidden="false" customHeight="true" outlineLevel="0" collapsed="false">
      <c r="I172" s="7"/>
    </row>
    <row r="173" customFormat="false" ht="15" hidden="false" customHeight="true" outlineLevel="0" collapsed="false">
      <c r="I173" s="7"/>
    </row>
    <row r="174" customFormat="false" ht="15" hidden="false" customHeight="true" outlineLevel="0" collapsed="false">
      <c r="I174" s="7"/>
    </row>
    <row r="175" customFormat="false" ht="15" hidden="false" customHeight="true" outlineLevel="0" collapsed="false">
      <c r="I175" s="7"/>
    </row>
    <row r="176" customFormat="false" ht="15" hidden="false" customHeight="true" outlineLevel="0" collapsed="false">
      <c r="I176" s="7"/>
    </row>
    <row r="177" customFormat="false" ht="15" hidden="false" customHeight="true" outlineLevel="0" collapsed="false">
      <c r="I177" s="7"/>
    </row>
    <row r="178" customFormat="false" ht="15" hidden="false" customHeight="true" outlineLevel="0" collapsed="false">
      <c r="I178" s="7"/>
    </row>
    <row r="179" customFormat="false" ht="15" hidden="false" customHeight="true" outlineLevel="0" collapsed="false">
      <c r="I179" s="7"/>
    </row>
    <row r="180" customFormat="false" ht="15" hidden="false" customHeight="true" outlineLevel="0" collapsed="false">
      <c r="I180" s="7"/>
    </row>
    <row r="181" customFormat="false" ht="15" hidden="false" customHeight="true" outlineLevel="0" collapsed="false">
      <c r="I181" s="7"/>
    </row>
    <row r="182" customFormat="false" ht="15" hidden="false" customHeight="true" outlineLevel="0" collapsed="false">
      <c r="I182" s="7"/>
    </row>
    <row r="183" customFormat="false" ht="15" hidden="false" customHeight="true" outlineLevel="0" collapsed="false">
      <c r="I183" s="7"/>
    </row>
    <row r="184" customFormat="false" ht="15" hidden="false" customHeight="true" outlineLevel="0" collapsed="false">
      <c r="I184" s="7"/>
    </row>
    <row r="185" customFormat="false" ht="15" hidden="false" customHeight="true" outlineLevel="0" collapsed="false">
      <c r="I185" s="7"/>
    </row>
    <row r="186" customFormat="false" ht="15" hidden="false" customHeight="true" outlineLevel="0" collapsed="false">
      <c r="I186" s="7"/>
    </row>
    <row r="187" customFormat="false" ht="15" hidden="false" customHeight="true" outlineLevel="0" collapsed="false">
      <c r="I187" s="7"/>
    </row>
    <row r="188" customFormat="false" ht="15" hidden="false" customHeight="true" outlineLevel="0" collapsed="false">
      <c r="I188" s="7"/>
    </row>
    <row r="189" customFormat="false" ht="15" hidden="false" customHeight="true" outlineLevel="0" collapsed="false">
      <c r="I189" s="7"/>
    </row>
    <row r="190" customFormat="false" ht="15" hidden="false" customHeight="true" outlineLevel="0" collapsed="false">
      <c r="I190" s="7"/>
    </row>
    <row r="191" customFormat="false" ht="15" hidden="false" customHeight="true" outlineLevel="0" collapsed="false">
      <c r="I191" s="7"/>
    </row>
    <row r="192" customFormat="false" ht="15" hidden="false" customHeight="true" outlineLevel="0" collapsed="false">
      <c r="I192" s="7"/>
    </row>
    <row r="193" customFormat="false" ht="15" hidden="false" customHeight="true" outlineLevel="0" collapsed="false">
      <c r="I193" s="7"/>
    </row>
    <row r="194" customFormat="false" ht="15" hidden="false" customHeight="true" outlineLevel="0" collapsed="false">
      <c r="I194" s="7"/>
    </row>
    <row r="195" customFormat="false" ht="15" hidden="false" customHeight="true" outlineLevel="0" collapsed="false">
      <c r="I195" s="7"/>
    </row>
    <row r="196" customFormat="false" ht="15" hidden="false" customHeight="true" outlineLevel="0" collapsed="false">
      <c r="I196" s="7"/>
    </row>
    <row r="197" customFormat="false" ht="15" hidden="false" customHeight="true" outlineLevel="0" collapsed="false">
      <c r="I197" s="7"/>
    </row>
    <row r="198" customFormat="false" ht="15" hidden="false" customHeight="true" outlineLevel="0" collapsed="false">
      <c r="I198" s="7"/>
    </row>
    <row r="199" customFormat="false" ht="15" hidden="false" customHeight="true" outlineLevel="0" collapsed="false">
      <c r="I199" s="7"/>
    </row>
    <row r="200" customFormat="false" ht="15" hidden="false" customHeight="tru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2" t="s">
        <v>16</v>
      </c>
      <c r="B1" s="2" t="s">
        <v>17</v>
      </c>
      <c r="C1" s="2" t="s">
        <v>233</v>
      </c>
      <c r="D1" s="2" t="s">
        <v>1</v>
      </c>
      <c r="E1" s="2" t="s">
        <v>234</v>
      </c>
      <c r="F1" s="2" t="s">
        <v>18</v>
      </c>
      <c r="G1" s="2" t="s">
        <v>235</v>
      </c>
      <c r="H1" s="2" t="s">
        <v>20</v>
      </c>
      <c r="I1" s="2" t="s">
        <v>24</v>
      </c>
      <c r="J1" s="2" t="s">
        <v>236</v>
      </c>
      <c r="K1" s="2" t="s">
        <v>237</v>
      </c>
    </row>
    <row r="2" customFormat="false" ht="57" hidden="false" customHeight="true" outlineLevel="0" collapsed="false">
      <c r="A2" s="3" t="s">
        <v>238</v>
      </c>
      <c r="B2" s="3" t="s">
        <v>239</v>
      </c>
      <c r="C2" s="8" t="s">
        <v>240</v>
      </c>
      <c r="D2" s="3" t="s">
        <v>12</v>
      </c>
      <c r="E2" s="3" t="s">
        <v>169</v>
      </c>
      <c r="F2" s="3" t="s">
        <v>44</v>
      </c>
      <c r="G2" s="3" t="s">
        <v>45</v>
      </c>
      <c r="H2" s="3" t="s">
        <v>45</v>
      </c>
      <c r="I2" s="3" t="s">
        <v>241</v>
      </c>
      <c r="J2" s="3" t="s">
        <v>242</v>
      </c>
      <c r="K2" s="3" t="s">
        <v>243</v>
      </c>
    </row>
    <row r="3" customFormat="false" ht="57" hidden="false" customHeight="true" outlineLevel="0" collapsed="false">
      <c r="A3" s="3" t="s">
        <v>244</v>
      </c>
      <c r="B3" s="3" t="s">
        <v>245</v>
      </c>
      <c r="C3" s="8" t="s">
        <v>246</v>
      </c>
      <c r="D3" s="3" t="s">
        <v>13</v>
      </c>
      <c r="E3" s="3" t="s">
        <v>206</v>
      </c>
      <c r="F3" s="3" t="s">
        <v>29</v>
      </c>
      <c r="G3" s="3" t="s">
        <v>82</v>
      </c>
      <c r="H3" s="3" t="s">
        <v>82</v>
      </c>
      <c r="I3" s="3" t="s">
        <v>241</v>
      </c>
      <c r="J3" s="3" t="s">
        <v>242</v>
      </c>
      <c r="K3" s="3" t="s">
        <v>243</v>
      </c>
    </row>
    <row r="4" customFormat="false" ht="45.75" hidden="false" customHeight="true" outlineLevel="0" collapsed="false">
      <c r="A4" s="3" t="s">
        <v>247</v>
      </c>
      <c r="B4" s="3" t="s">
        <v>248</v>
      </c>
      <c r="C4" s="8" t="s">
        <v>249</v>
      </c>
      <c r="D4" s="3" t="s">
        <v>10</v>
      </c>
      <c r="E4" s="3" t="s">
        <v>89</v>
      </c>
      <c r="F4" s="3" t="s">
        <v>91</v>
      </c>
      <c r="G4" s="3" t="s">
        <v>45</v>
      </c>
      <c r="H4" s="3" t="s">
        <v>45</v>
      </c>
      <c r="I4" s="3" t="s">
        <v>241</v>
      </c>
      <c r="J4" s="3" t="s">
        <v>242</v>
      </c>
      <c r="K4" s="3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5" t="s">
        <v>250</v>
      </c>
    </row>
    <row r="2" customFormat="false" ht="15" hidden="false" customHeight="true" outlineLevel="0" collapsed="false">
      <c r="A2" s="3" t="s">
        <v>251</v>
      </c>
    </row>
    <row r="3" customFormat="false" ht="15" hidden="false" customHeight="true" outlineLevel="0" collapsed="false">
      <c r="A3" s="2" t="s">
        <v>16</v>
      </c>
      <c r="B3" s="2" t="s">
        <v>20</v>
      </c>
      <c r="C3" s="2" t="s">
        <v>235</v>
      </c>
      <c r="D3" s="2" t="s">
        <v>24</v>
      </c>
      <c r="E3" s="2" t="s">
        <v>1</v>
      </c>
      <c r="F3" s="2" t="s">
        <v>17</v>
      </c>
      <c r="G3" s="2" t="s">
        <v>234</v>
      </c>
      <c r="H3" s="2" t="s">
        <v>18</v>
      </c>
    </row>
    <row r="4" customFormat="false" ht="15" hidden="false" customHeight="true" outlineLevel="0" collapsed="false">
      <c r="A4" s="3" t="s">
        <v>238</v>
      </c>
      <c r="B4" s="3" t="s">
        <v>45</v>
      </c>
      <c r="C4" s="3" t="s">
        <v>45</v>
      </c>
      <c r="D4" s="3" t="s">
        <v>241</v>
      </c>
      <c r="E4" s="3" t="s">
        <v>12</v>
      </c>
      <c r="F4" s="3" t="s">
        <v>239</v>
      </c>
      <c r="G4" s="3" t="s">
        <v>169</v>
      </c>
      <c r="H4" s="3" t="s">
        <v>44</v>
      </c>
    </row>
    <row r="5" customFormat="false" ht="15" hidden="false" customHeight="true" outlineLevel="0" collapsed="false">
      <c r="A5" s="3" t="s">
        <v>247</v>
      </c>
      <c r="B5" s="3" t="s">
        <v>45</v>
      </c>
      <c r="C5" s="3" t="s">
        <v>45</v>
      </c>
      <c r="D5" s="3" t="s">
        <v>241</v>
      </c>
      <c r="E5" s="3" t="s">
        <v>10</v>
      </c>
      <c r="F5" s="3" t="s">
        <v>248</v>
      </c>
      <c r="G5" s="3" t="s">
        <v>89</v>
      </c>
      <c r="H5" s="3" t="s">
        <v>91</v>
      </c>
    </row>
    <row r="6" customFormat="false" ht="15" hidden="false" customHeight="true" outlineLevel="0" collapsed="false">
      <c r="A6" s="3" t="s">
        <v>244</v>
      </c>
      <c r="B6" s="3" t="s">
        <v>82</v>
      </c>
      <c r="C6" s="3" t="s">
        <v>82</v>
      </c>
      <c r="D6" s="3" t="s">
        <v>241</v>
      </c>
      <c r="E6" s="3" t="s">
        <v>13</v>
      </c>
      <c r="F6" s="3" t="s">
        <v>245</v>
      </c>
      <c r="G6" s="3" t="s">
        <v>206</v>
      </c>
      <c r="H6" s="3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" t="s">
        <v>252</v>
      </c>
      <c r="B1" s="3" t="s">
        <v>253</v>
      </c>
      <c r="C1" s="3" t="s">
        <v>254</v>
      </c>
      <c r="D1" s="3" t="s">
        <v>255</v>
      </c>
      <c r="E1" s="3" t="s">
        <v>256</v>
      </c>
      <c r="F1" s="3" t="s">
        <v>257</v>
      </c>
    </row>
    <row r="2" customFormat="false" ht="15" hidden="false" customHeight="true" outlineLevel="0" collapsed="false">
      <c r="A2" s="3" t="s">
        <v>258</v>
      </c>
      <c r="B2" s="3" t="s">
        <v>259</v>
      </c>
      <c r="C2" s="3" t="s">
        <v>260</v>
      </c>
      <c r="D2" s="3" t="n">
        <v>10</v>
      </c>
      <c r="E2" s="3" t="s">
        <v>238</v>
      </c>
      <c r="F2" s="3" t="s">
        <v>261</v>
      </c>
    </row>
    <row r="3" customFormat="false" ht="15" hidden="false" customHeight="true" outlineLevel="0" collapsed="false">
      <c r="A3" s="3" t="s">
        <v>262</v>
      </c>
      <c r="B3" s="3" t="s">
        <v>263</v>
      </c>
      <c r="C3" s="3" t="s">
        <v>264</v>
      </c>
      <c r="D3" s="3" t="n">
        <v>5</v>
      </c>
      <c r="E3" s="3" t="s">
        <v>244</v>
      </c>
      <c r="F3" s="3" t="s">
        <v>265</v>
      </c>
    </row>
    <row r="4" customFormat="false" ht="15" hidden="false" customHeight="true" outlineLevel="0" collapsed="false">
      <c r="A4" s="3" t="s">
        <v>266</v>
      </c>
      <c r="B4" s="3" t="s">
        <v>267</v>
      </c>
      <c r="C4" s="3" t="s">
        <v>268</v>
      </c>
      <c r="D4" s="3" t="n">
        <v>3</v>
      </c>
      <c r="F4" s="3" t="s">
        <v>269</v>
      </c>
    </row>
    <row r="5" customFormat="false" ht="15" hidden="false" customHeight="true" outlineLevel="0" collapsed="false">
      <c r="A5" s="3" t="s">
        <v>270</v>
      </c>
      <c r="B5" s="3" t="s">
        <v>271</v>
      </c>
      <c r="C5" s="3" t="s">
        <v>272</v>
      </c>
      <c r="D5" s="3" t="n">
        <v>7</v>
      </c>
      <c r="E5" s="3" t="s">
        <v>247</v>
      </c>
      <c r="F5" s="3" t="s">
        <v>273</v>
      </c>
    </row>
    <row r="6" customFormat="false" ht="15" hidden="false" customHeight="false" outlineLevel="0" collapsed="false">
      <c r="A6" s="0" t="s">
        <v>274</v>
      </c>
      <c r="B6" s="0" t="s">
        <v>275</v>
      </c>
      <c r="C6" s="0" t="s">
        <v>276</v>
      </c>
      <c r="D6" s="0" t="n">
        <v>1</v>
      </c>
      <c r="F6" s="0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2026-09-24T12:29:13Z</dcterms:created>
  <dc:creator>openpyxl</dc:creator>
  <dc:description/>
  <dc:language>en-GB</dc:language>
  <cp:lastModifiedBy/>
  <dcterms:modified xsi:type="dcterms:W3CDTF">2026-09-24T12:29:23Z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