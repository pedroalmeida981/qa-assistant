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in" sheetId="2" state="visible" r:id="rId2"/>
    <sheet name="Produtos" sheetId="3" state="visible" r:id="rId3"/>
    <sheet name="Checkout" sheetId="4" state="visible" r:id="rId4"/>
    <sheet name="Defeitos" sheetId="5" state="visible" r:id="rId5"/>
    <sheet name="Defeitos Ativ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QA — saucedemo.com (site público de prática)</t>
        </is>
      </c>
    </row>
    <row r="3">
      <c r="A3" s="2" t="inlineStr">
        <is>
          <t>Área</t>
        </is>
      </c>
      <c r="B3" s="2" t="inlineStr">
        <is>
          <t>Total</t>
        </is>
      </c>
      <c r="C3" s="2" t="inlineStr">
        <is>
          <t>Por testar</t>
        </is>
      </c>
      <c r="D3" s="2" t="inlineStr">
        <is>
          <t>Pass</t>
        </is>
      </c>
      <c r="E3" s="2" t="inlineStr">
        <is>
          <t>Fail</t>
        </is>
      </c>
      <c r="F3" s="2" t="inlineStr">
        <is>
          <t>Blocked</t>
        </is>
      </c>
      <c r="G3" s="2" t="inlineStr">
        <is>
          <t>N/A</t>
        </is>
      </c>
      <c r="H3" s="2" t="inlineStr">
        <is>
          <t>% Executado</t>
        </is>
      </c>
    </row>
    <row r="4">
      <c r="A4" t="inlineStr">
        <is>
          <t>Login</t>
        </is>
      </c>
      <c r="B4">
        <f>COUNTA('Login'!A2:A200)</f>
        <v/>
      </c>
      <c r="C4">
        <f>COUNTIF('Login'!I2:I200,"Por testar")</f>
        <v/>
      </c>
      <c r="D4">
        <f>COUNTIF('Login'!I2:I200,"Pass")</f>
        <v/>
      </c>
      <c r="E4">
        <f>COUNTIF('Login'!I2:I200,"Fail")</f>
        <v/>
      </c>
      <c r="F4">
        <f>COUNTIF('Login'!I2:I200,"Blocked")</f>
        <v/>
      </c>
      <c r="G4">
        <f>COUNTIF('Login'!I2:I200,"N/A")</f>
        <v/>
      </c>
      <c r="H4" s="3">
        <f>IFERROR((B4-C4-G4)/(B4-G4),0)</f>
        <v/>
      </c>
    </row>
    <row r="5">
      <c r="A5" t="inlineStr">
        <is>
          <t>Produtos</t>
        </is>
      </c>
      <c r="B5">
        <f>COUNTA('Produtos'!A2:A200)</f>
        <v/>
      </c>
      <c r="C5">
        <f>COUNTIF('Produtos'!I2:I200,"Por testar")</f>
        <v/>
      </c>
      <c r="D5">
        <f>COUNTIF('Produtos'!I2:I200,"Pass")</f>
        <v/>
      </c>
      <c r="E5">
        <f>COUNTIF('Produtos'!I2:I200,"Fail")</f>
        <v/>
      </c>
      <c r="F5">
        <f>COUNTIF('Produtos'!I2:I200,"Blocked")</f>
        <v/>
      </c>
      <c r="G5">
        <f>COUNTIF('Produtos'!I2:I200,"N/A")</f>
        <v/>
      </c>
      <c r="H5" s="3">
        <f>IFERROR((B5-C5-G5)/(B5-G5),0)</f>
        <v/>
      </c>
    </row>
    <row r="6">
      <c r="A6" t="inlineStr">
        <is>
          <t>Checkout</t>
        </is>
      </c>
      <c r="B6">
        <f>COUNTA('Checkout'!A2:A200)</f>
        <v/>
      </c>
      <c r="C6">
        <f>COUNTIF('Checkout'!I2:I200,"Por testar")</f>
        <v/>
      </c>
      <c r="D6">
        <f>COUNTIF('Checkout'!I2:I200,"Pass")</f>
        <v/>
      </c>
      <c r="E6">
        <f>COUNTIF('Checkout'!I2:I200,"Fail")</f>
        <v/>
      </c>
      <c r="F6">
        <f>COUNTIF('Checkout'!I2:I200,"Blocked")</f>
        <v/>
      </c>
      <c r="G6">
        <f>COUNTIF('Checkout'!I2:I200,"N/A")</f>
        <v/>
      </c>
      <c r="H6" s="3">
        <f>IFERROR((B6-C6-G6)/(B6-G6),0)</f>
        <v/>
      </c>
    </row>
    <row r="7">
      <c r="A7" s="4" t="inlineStr">
        <is>
          <t>Total</t>
        </is>
      </c>
      <c r="B7">
        <f>SUM(B4:B6)</f>
        <v/>
      </c>
      <c r="C7">
        <f>SUM(C4:C6)</f>
        <v/>
      </c>
      <c r="D7">
        <f>SUM(D4:D6)</f>
        <v/>
      </c>
      <c r="E7">
        <f>SUM(E4:E6)</f>
        <v/>
      </c>
      <c r="F7">
        <f>SUM(F4:F6)</f>
        <v/>
      </c>
      <c r="G7">
        <f>SUM(G4:G6)</f>
        <v/>
      </c>
      <c r="H7" s="3">
        <f>IFERROR((B7-C7-G7)/(B7-G7),0)</f>
        <v/>
      </c>
    </row>
    <row r="9">
      <c r="A9" t="inlineStr">
        <is>
          <t>% Executado exclui os casos N/A.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12" customWidth="1" min="9" max="9"/>
    <col width="35" customWidth="1" min="10" max="10"/>
    <col width="35" customWidth="1" min="11" max="11"/>
  </cols>
  <sheetData>
    <row r="1">
      <c r="A1" s="2" t="inlineStr">
        <is>
          <t>ID</t>
        </is>
      </c>
      <c r="B1" s="2" t="inlineStr">
        <is>
          <t>Título</t>
        </is>
      </c>
      <c r="C1" s="2" t="inlineStr">
        <is>
          <t>Role</t>
        </is>
      </c>
      <c r="D1" s="2" t="inlineStr">
        <is>
          <t>Técnica</t>
        </is>
      </c>
      <c r="E1" s="2" t="inlineStr">
        <is>
          <t>Prioridade</t>
        </is>
      </c>
      <c r="F1" s="2" t="inlineStr">
        <is>
          <t>Pré-condições</t>
        </is>
      </c>
      <c r="G1" s="2" t="inlineStr">
        <is>
          <t>Passos</t>
        </is>
      </c>
      <c r="H1" s="2" t="inlineStr">
        <is>
          <t>Resultado Esperado</t>
        </is>
      </c>
      <c r="I1" s="2" t="inlineStr">
        <is>
          <t>Estado</t>
        </is>
      </c>
      <c r="J1" s="2" t="inlineStr">
        <is>
          <t>Resultado Obtido</t>
        </is>
      </c>
      <c r="K1" s="2" t="inlineStr">
        <is>
          <t>Observações</t>
        </is>
      </c>
    </row>
    <row r="2">
      <c r="A2" s="5" t="inlineStr">
        <is>
          <t>CT-LOGIN-001</t>
        </is>
      </c>
      <c r="B2" s="5" t="inlineStr">
        <is>
          <t>Login com credenciais válidas</t>
        </is>
      </c>
      <c r="C2" s="5" t="inlineStr">
        <is>
          <t>standard_user</t>
        </is>
      </c>
      <c r="D2" s="5" t="inlineStr">
        <is>
          <t>Partição de equivalência</t>
        </is>
      </c>
      <c r="E2" s="5" t="inlineStr">
        <is>
          <t>Alta</t>
        </is>
      </c>
      <c r="F2" s="5" t="inlineStr">
        <is>
          <t>Página de login aberta, sem sessão iniciada.</t>
        </is>
      </c>
      <c r="G2" s="5" t="inlineStr">
        <is>
          <t>1. Preencher Username e Password com a conta da role.
2. Clicar em Login.</t>
        </is>
      </c>
      <c r="H2" s="5" t="inlineStr">
        <is>
          <t>Abre a página "Products" (/inventory.html).</t>
        </is>
      </c>
      <c r="I2" s="5" t="inlineStr">
        <is>
          <t>Por testar</t>
        </is>
      </c>
      <c r="J2" s="5" t="n"/>
      <c r="K2" s="5" t="n"/>
    </row>
    <row r="3">
      <c r="A3" s="5" t="inlineStr">
        <is>
          <t>CT-LOGIN-002</t>
        </is>
      </c>
      <c r="B3" s="5" t="inlineStr">
        <is>
          <t>Login de utilizador bloqueado</t>
        </is>
      </c>
      <c r="C3" s="5" t="inlineStr">
        <is>
          <t>locked_out_user</t>
        </is>
      </c>
      <c r="D3" s="5" t="inlineStr">
        <is>
          <t>Matriz de roles</t>
        </is>
      </c>
      <c r="E3" s="5" t="inlineStr">
        <is>
          <t>Alta</t>
        </is>
      </c>
      <c r="F3" s="5" t="inlineStr">
        <is>
          <t>Página de login aberta, sem sessão iniciada.</t>
        </is>
      </c>
      <c r="G3" s="5" t="inlineStr">
        <is>
          <t>1. Preencher Username e Password com a conta da role.
2. Clicar em Login.</t>
        </is>
      </c>
      <c r="H3" s="5" t="inlineStr">
        <is>
          <t>Mostra o erro "Epic sadface: Sorry, this user has been locked out." e fica na página de login.</t>
        </is>
      </c>
      <c r="I3" s="5" t="inlineStr">
        <is>
          <t>Por testar</t>
        </is>
      </c>
      <c r="J3" s="5" t="n"/>
      <c r="K3" s="5" t="n"/>
    </row>
    <row r="4">
      <c r="A4" s="5" t="inlineStr">
        <is>
          <t>CT-LOGIN-003</t>
        </is>
      </c>
      <c r="B4" s="5" t="inlineStr">
        <is>
          <t>Login sem username</t>
        </is>
      </c>
      <c r="C4" s="5" t="inlineStr">
        <is>
          <t>—</t>
        </is>
      </c>
      <c r="D4" s="5" t="inlineStr">
        <is>
          <t>Partição de equivalência</t>
        </is>
      </c>
      <c r="E4" s="5" t="inlineStr">
        <is>
          <t>Média</t>
        </is>
      </c>
      <c r="F4" s="5" t="inlineStr">
        <is>
          <t>Página de login aberta, sem sessão iniciada.</t>
        </is>
      </c>
      <c r="G4" s="5" t="inlineStr">
        <is>
          <t>1. Deixar Username vazio e preencher Password.
2. Clicar em Login.</t>
        </is>
      </c>
      <c r="H4" s="5" t="inlineStr">
        <is>
          <t>Mostra o erro "Epic sadface: Username is required".</t>
        </is>
      </c>
      <c r="I4" s="5" t="inlineStr">
        <is>
          <t>Por testar</t>
        </is>
      </c>
      <c r="J4" s="5" t="n"/>
      <c r="K4" s="5" t="n"/>
    </row>
    <row r="5">
      <c r="A5" s="5" t="inlineStr">
        <is>
          <t>CT-LOGIN-004</t>
        </is>
      </c>
      <c r="B5" s="5" t="inlineStr">
        <is>
          <t>Login sem password</t>
        </is>
      </c>
      <c r="C5" s="5" t="inlineStr">
        <is>
          <t>standard_user</t>
        </is>
      </c>
      <c r="D5" s="5" t="inlineStr">
        <is>
          <t>Partição de equivalência</t>
        </is>
      </c>
      <c r="E5" s="5" t="inlineStr">
        <is>
          <t>Média</t>
        </is>
      </c>
      <c r="F5" s="5" t="inlineStr">
        <is>
          <t>Página de login aberta, sem sessão iniciada.</t>
        </is>
      </c>
      <c r="G5" s="5" t="inlineStr">
        <is>
          <t>1. Preencher Username com a conta da role e deixar Password vazio.
2. Clicar em Login.</t>
        </is>
      </c>
      <c r="H5" s="5" t="inlineStr">
        <is>
          <t>Mostra o erro "Epic sadface: Password is required".</t>
        </is>
      </c>
      <c r="I5" s="5" t="inlineStr">
        <is>
          <t>Por testar</t>
        </is>
      </c>
      <c r="J5" s="5" t="n"/>
      <c r="K5" s="5" t="n"/>
    </row>
    <row r="6">
      <c r="A6" s="5" t="inlineStr">
        <is>
          <t>CT-LOGIN-005</t>
        </is>
      </c>
      <c r="B6" s="5" t="inlineStr">
        <is>
          <t>Login com password errada</t>
        </is>
      </c>
      <c r="C6" s="5" t="inlineStr">
        <is>
          <t>standard_user</t>
        </is>
      </c>
      <c r="D6" s="5" t="inlineStr">
        <is>
          <t>Partição de equivalência</t>
        </is>
      </c>
      <c r="E6" s="5" t="inlineStr">
        <is>
          <t>Média</t>
        </is>
      </c>
      <c r="F6" s="5" t="inlineStr">
        <is>
          <t>Página de login aberta, sem sessão iniciada.</t>
        </is>
      </c>
      <c r="G6" s="5" t="inlineStr">
        <is>
          <t>1. Preencher Username com a conta da role e Password com um valor errado.
2. Clicar em Login.</t>
        </is>
      </c>
      <c r="H6" s="5" t="inlineStr">
        <is>
          <t>Mostra o erro "Epic sadface: Username and password do not match any user in this service".</t>
        </is>
      </c>
      <c r="I6" s="5" t="inlineStr">
        <is>
          <t>Por testar</t>
        </is>
      </c>
      <c r="J6" s="5" t="n"/>
      <c r="K6" s="5" t="n"/>
    </row>
    <row r="7">
      <c r="A7" s="5" t="inlineStr">
        <is>
          <t>CT-LOGIN-006</t>
        </is>
      </c>
      <c r="B7" s="5" t="inlineStr">
        <is>
          <t>Acesso direto ao inventário sem sessão</t>
        </is>
      </c>
      <c r="C7" s="5" t="inlineStr">
        <is>
          <t>—</t>
        </is>
      </c>
      <c r="D7" s="5" t="inlineStr">
        <is>
          <t>Error guessing</t>
        </is>
      </c>
      <c r="E7" s="5" t="inlineStr">
        <is>
          <t>Alta</t>
        </is>
      </c>
      <c r="F7" s="5" t="inlineStr">
        <is>
          <t>Sem sessão iniciada.</t>
        </is>
      </c>
      <c r="G7" s="5" t="inlineStr">
        <is>
          <t>1. Abrir diretamente /inventory.html.</t>
        </is>
      </c>
      <c r="H7" s="5" t="inlineStr">
        <is>
          <t>Volta à página de login com o erro "Epic sadface: You can only access '/inventory.html' when you are logged in.".</t>
        </is>
      </c>
      <c r="I7" s="5" t="inlineStr">
        <is>
          <t>Por testar</t>
        </is>
      </c>
      <c r="J7" s="5" t="n"/>
      <c r="K7" s="5" t="n"/>
    </row>
    <row r="8">
      <c r="A8" s="5" t="inlineStr">
        <is>
          <t>CT-LOGIN-007</t>
        </is>
      </c>
      <c r="B8" s="5" t="inlineStr">
        <is>
          <t>Logout</t>
        </is>
      </c>
      <c r="C8" s="5" t="inlineStr">
        <is>
          <t>standard_user</t>
        </is>
      </c>
      <c r="D8" s="5" t="inlineStr">
        <is>
          <t>Transição de estados</t>
        </is>
      </c>
      <c r="E8" s="5" t="inlineStr">
        <is>
          <t>Média</t>
        </is>
      </c>
      <c r="F8" s="5" t="inlineStr">
        <is>
          <t>Sessão iniciada com a role indicada; página Products aberta; carrinho vazio.</t>
        </is>
      </c>
      <c r="G8" s="5" t="inlineStr">
        <is>
          <t>1. Abrir o menu lateral.
2. Clicar em Logout.
3. Usar o Back do browser.</t>
        </is>
      </c>
      <c r="H8" s="5" t="inlineStr">
        <is>
          <t>Volta à página de login; o Back não reabre o inventário sem nova sessão.</t>
        </is>
      </c>
      <c r="I8" s="5" t="inlineStr">
        <is>
          <t>Por testar</t>
        </is>
      </c>
      <c r="J8" s="5" t="n"/>
      <c r="K8" s="5" t="n"/>
    </row>
  </sheetData>
  <dataValidations count="1">
    <dataValidation sqref="I2:I200" showDropDown="0" showInputMessage="0" showErrorMessage="0" allowBlank="0" type="list">
      <formula1>"Por testar,Pass,Fail,Blocked,N/A"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12" customWidth="1" min="9" max="9"/>
    <col width="35" customWidth="1" min="10" max="10"/>
    <col width="35" customWidth="1" min="11" max="11"/>
  </cols>
  <sheetData>
    <row r="1">
      <c r="A1" s="2" t="inlineStr">
        <is>
          <t>ID</t>
        </is>
      </c>
      <c r="B1" s="2" t="inlineStr">
        <is>
          <t>Título</t>
        </is>
      </c>
      <c r="C1" s="2" t="inlineStr">
        <is>
          <t>Role</t>
        </is>
      </c>
      <c r="D1" s="2" t="inlineStr">
        <is>
          <t>Técnica</t>
        </is>
      </c>
      <c r="E1" s="2" t="inlineStr">
        <is>
          <t>Prioridade</t>
        </is>
      </c>
      <c r="F1" s="2" t="inlineStr">
        <is>
          <t>Pré-condições</t>
        </is>
      </c>
      <c r="G1" s="2" t="inlineStr">
        <is>
          <t>Passos</t>
        </is>
      </c>
      <c r="H1" s="2" t="inlineStr">
        <is>
          <t>Resultado Esperado</t>
        </is>
      </c>
      <c r="I1" s="2" t="inlineStr">
        <is>
          <t>Estado</t>
        </is>
      </c>
      <c r="J1" s="2" t="inlineStr">
        <is>
          <t>Resultado Obtido</t>
        </is>
      </c>
      <c r="K1" s="2" t="inlineStr">
        <is>
          <t>Observações</t>
        </is>
      </c>
    </row>
    <row r="2">
      <c r="A2" s="5" t="inlineStr">
        <is>
          <t>CT-PROD-001</t>
        </is>
      </c>
      <c r="B2" s="5" t="inlineStr">
        <is>
          <t>Lista de produtos</t>
        </is>
      </c>
      <c r="C2" s="5" t="inlineStr">
        <is>
          <t>standard_user</t>
        </is>
      </c>
      <c r="D2" s="5" t="inlineStr">
        <is>
          <t>Partição de equivalência</t>
        </is>
      </c>
      <c r="E2" s="5" t="inlineStr">
        <is>
          <t>Alta</t>
        </is>
      </c>
      <c r="F2" s="5" t="inlineStr">
        <is>
          <t>Sessão iniciada com a role indicada; página Products aberta; carrinho vazio.</t>
        </is>
      </c>
      <c r="G2" s="5" t="inlineStr">
        <is>
          <t>1. Observar a lista de produtos.</t>
        </is>
      </c>
      <c r="H2" s="5" t="inlineStr">
        <is>
          <t>São apresentados 6 produtos, cada um com nome, descrição, preço, imagem e botão "Add to cart".</t>
        </is>
      </c>
      <c r="I2" s="5" t="inlineStr">
        <is>
          <t>Por testar</t>
        </is>
      </c>
      <c r="J2" s="5" t="n"/>
      <c r="K2" s="5" t="n"/>
    </row>
    <row r="3">
      <c r="A3" s="5" t="inlineStr">
        <is>
          <t>CT-PROD-002</t>
        </is>
      </c>
      <c r="B3" s="5" t="inlineStr">
        <is>
          <t>Ordenar por preço (low to high)</t>
        </is>
      </c>
      <c r="C3" s="5" t="inlineStr">
        <is>
          <t>standard_user</t>
        </is>
      </c>
      <c r="D3" s="5" t="inlineStr">
        <is>
          <t>Partição de equivalência</t>
        </is>
      </c>
      <c r="E3" s="5" t="inlineStr">
        <is>
          <t>Média</t>
        </is>
      </c>
      <c r="F3" s="5" t="inlineStr">
        <is>
          <t>Sessão iniciada com a role indicada; página Products aberta; carrinho vazio.</t>
        </is>
      </c>
      <c r="G3" s="5" t="inlineStr">
        <is>
          <t>1. Escolher "Price (low to high)" no seletor de ordenação.</t>
        </is>
      </c>
      <c r="H3" s="5" t="inlineStr">
        <is>
          <t>Os produtos ficam por ordem crescente de preço.</t>
        </is>
      </c>
      <c r="I3" s="5" t="inlineStr">
        <is>
          <t>Por testar</t>
        </is>
      </c>
      <c r="J3" s="5" t="n"/>
      <c r="K3" s="5" t="n"/>
    </row>
    <row r="4">
      <c r="A4" s="5" t="inlineStr">
        <is>
          <t>CT-PROD-003</t>
        </is>
      </c>
      <c r="B4" s="5" t="inlineStr">
        <is>
          <t>Ordenar por nome (Z to A)</t>
        </is>
      </c>
      <c r="C4" s="5" t="inlineStr">
        <is>
          <t>standard_user</t>
        </is>
      </c>
      <c r="D4" s="5" t="inlineStr">
        <is>
          <t>Partição de equivalência</t>
        </is>
      </c>
      <c r="E4" s="5" t="inlineStr">
        <is>
          <t>Baixa</t>
        </is>
      </c>
      <c r="F4" s="5" t="inlineStr">
        <is>
          <t>Sessão iniciada com a role indicada; página Products aberta; carrinho vazio.</t>
        </is>
      </c>
      <c r="G4" s="5" t="inlineStr">
        <is>
          <t>1. Escolher "Name (Z to A)" no seletor de ordenação.</t>
        </is>
      </c>
      <c r="H4" s="5" t="inlineStr">
        <is>
          <t>Os produtos ficam por ordem alfabética decrescente de nome.</t>
        </is>
      </c>
      <c r="I4" s="5" t="inlineStr">
        <is>
          <t>Por testar</t>
        </is>
      </c>
      <c r="J4" s="5" t="n"/>
      <c r="K4" s="5" t="n"/>
    </row>
    <row r="5">
      <c r="A5" s="5" t="inlineStr">
        <is>
          <t>CT-PROD-004</t>
        </is>
      </c>
      <c r="B5" s="5" t="inlineStr">
        <is>
          <t>Detalhe do produto</t>
        </is>
      </c>
      <c r="C5" s="5" t="inlineStr">
        <is>
          <t>standard_user</t>
        </is>
      </c>
      <c r="D5" s="5" t="inlineStr">
        <is>
          <t>Partição de equivalência</t>
        </is>
      </c>
      <c r="E5" s="5" t="inlineStr">
        <is>
          <t>Média</t>
        </is>
      </c>
      <c r="F5" s="5" t="inlineStr">
        <is>
          <t>Sessão iniciada com a role indicada; página Products aberta; carrinho vazio.</t>
        </is>
      </c>
      <c r="G5" s="5" t="inlineStr">
        <is>
          <t>1. Anotar o nome e o preço do primeiro produto.
2. Clicar no nome do produto.
3. Clicar em "Back to products".</t>
        </is>
      </c>
      <c r="H5" s="5" t="inlineStr">
        <is>
          <t>O detalhe mostra o mesmo nome e preço da lista; "Back to products" volta à lista.</t>
        </is>
      </c>
      <c r="I5" s="5" t="inlineStr">
        <is>
          <t>Por testar</t>
        </is>
      </c>
      <c r="J5" s="5" t="n"/>
      <c r="K5" s="5" t="n"/>
    </row>
    <row r="6">
      <c r="A6" s="5" t="inlineStr">
        <is>
          <t>CT-PROD-005</t>
        </is>
      </c>
      <c r="B6" s="5" t="inlineStr">
        <is>
          <t>Imagens dos produtos (problem_user)</t>
        </is>
      </c>
      <c r="C6" s="5" t="inlineStr">
        <is>
          <t>problem_user</t>
        </is>
      </c>
      <c r="D6" s="5" t="inlineStr">
        <is>
          <t>Matriz de roles</t>
        </is>
      </c>
      <c r="E6" s="5" t="inlineStr">
        <is>
          <t>Média</t>
        </is>
      </c>
      <c r="F6" s="5" t="inlineStr">
        <is>
          <t>Sessão iniciada com a role indicada; página Products aberta; carrinho vazio.</t>
        </is>
      </c>
      <c r="G6" s="5" t="inlineStr">
        <is>
          <t>1. Observar a imagem de cada produto e comparar com a do standard_user.</t>
        </is>
      </c>
      <c r="H6" s="5" t="inlineStr">
        <is>
          <t>Cada produto mostra a sua própria imagem, igual à apresentada ao standard_user.</t>
        </is>
      </c>
      <c r="I6" s="5" t="inlineStr">
        <is>
          <t>Por testar</t>
        </is>
      </c>
      <c r="J6" s="5" t="n"/>
      <c r="K6" s="5" t="n"/>
    </row>
  </sheetData>
  <dataValidations count="1">
    <dataValidation sqref="I2:I200" showDropDown="0" showInputMessage="0" showErrorMessage="0" allowBlank="0" type="list">
      <formula1>"Por testar,Pass,Fail,Blocked,N/A"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12" customWidth="1" min="9" max="9"/>
    <col width="35" customWidth="1" min="10" max="10"/>
    <col width="35" customWidth="1" min="11" max="11"/>
  </cols>
  <sheetData>
    <row r="1">
      <c r="A1" s="2" t="inlineStr">
        <is>
          <t>ID</t>
        </is>
      </c>
      <c r="B1" s="2" t="inlineStr">
        <is>
          <t>Título</t>
        </is>
      </c>
      <c r="C1" s="2" t="inlineStr">
        <is>
          <t>Role</t>
        </is>
      </c>
      <c r="D1" s="2" t="inlineStr">
        <is>
          <t>Técnica</t>
        </is>
      </c>
      <c r="E1" s="2" t="inlineStr">
        <is>
          <t>Prioridade</t>
        </is>
      </c>
      <c r="F1" s="2" t="inlineStr">
        <is>
          <t>Pré-condições</t>
        </is>
      </c>
      <c r="G1" s="2" t="inlineStr">
        <is>
          <t>Passos</t>
        </is>
      </c>
      <c r="H1" s="2" t="inlineStr">
        <is>
          <t>Resultado Esperado</t>
        </is>
      </c>
      <c r="I1" s="2" t="inlineStr">
        <is>
          <t>Estado</t>
        </is>
      </c>
      <c r="J1" s="2" t="inlineStr">
        <is>
          <t>Resultado Obtido</t>
        </is>
      </c>
      <c r="K1" s="2" t="inlineStr">
        <is>
          <t>Observações</t>
        </is>
      </c>
    </row>
    <row r="2">
      <c r="A2" s="5" t="inlineStr">
        <is>
          <t>CT-CHK-001</t>
        </is>
      </c>
      <c r="B2" s="5" t="inlineStr">
        <is>
          <t>Adicionar ao carrinho</t>
        </is>
      </c>
      <c r="C2" s="5" t="inlineStr">
        <is>
          <t>standard_user</t>
        </is>
      </c>
      <c r="D2" s="5" t="inlineStr">
        <is>
          <t>Transição de estados</t>
        </is>
      </c>
      <c r="E2" s="5" t="inlineStr">
        <is>
          <t>Alta</t>
        </is>
      </c>
      <c r="F2" s="5" t="inlineStr">
        <is>
          <t>Sessão iniciada com a role indicada; página Products aberta; carrinho vazio.</t>
        </is>
      </c>
      <c r="G2" s="5" t="inlineStr">
        <is>
          <t>1. Clicar em "Add to cart" no primeiro produto.</t>
        </is>
      </c>
      <c r="H2" s="5" t="inlineStr">
        <is>
          <t>O contador do carrinho mostra 1 e o botão do produto passa a "Remove".</t>
        </is>
      </c>
      <c r="I2" s="5" t="inlineStr">
        <is>
          <t>Por testar</t>
        </is>
      </c>
      <c r="J2" s="5" t="n"/>
      <c r="K2" s="5" t="n"/>
    </row>
    <row r="3">
      <c r="A3" s="5" t="inlineStr">
        <is>
          <t>CT-CHK-002</t>
        </is>
      </c>
      <c r="B3" s="5" t="inlineStr">
        <is>
          <t>Remover do carrinho</t>
        </is>
      </c>
      <c r="C3" s="5" t="inlineStr">
        <is>
          <t>standard_user</t>
        </is>
      </c>
      <c r="D3" s="5" t="inlineStr">
        <is>
          <t>Transição de estados</t>
        </is>
      </c>
      <c r="E3" s="5" t="inlineStr">
        <is>
          <t>Média</t>
        </is>
      </c>
      <c r="F3" s="5" t="inlineStr">
        <is>
          <t>Sessão iniciada com a role indicada; página Products aberta; carrinho vazio. Um produto no carrinho.</t>
        </is>
      </c>
      <c r="G3" s="5" t="inlineStr">
        <is>
          <t>1. Abrir o carrinho.
2. Clicar em "Remove" no produto.</t>
        </is>
      </c>
      <c r="H3" s="5" t="inlineStr">
        <is>
          <t>O carrinho fica vazio e o contador do carrinho desaparece.</t>
        </is>
      </c>
      <c r="I3" s="5" t="inlineStr">
        <is>
          <t>Por testar</t>
        </is>
      </c>
      <c r="J3" s="5" t="n"/>
      <c r="K3" s="5" t="n"/>
    </row>
    <row r="4">
      <c r="A4" s="5" t="inlineStr">
        <is>
          <t>CT-CHK-003</t>
        </is>
      </c>
      <c r="B4" s="5" t="inlineStr">
        <is>
          <t>Checkout sem First Name</t>
        </is>
      </c>
      <c r="C4" s="5" t="inlineStr">
        <is>
          <t>standard_user</t>
        </is>
      </c>
      <c r="D4" s="5" t="inlineStr">
        <is>
          <t>Partição de equivalência</t>
        </is>
      </c>
      <c r="E4" s="5" t="inlineStr">
        <is>
          <t>Média</t>
        </is>
      </c>
      <c r="F4" s="5" t="inlineStr">
        <is>
          <t>Sessão iniciada com a role indicada; página Products aberta; carrinho vazio. Um produto no carrinho.</t>
        </is>
      </c>
      <c r="G4" s="5" t="inlineStr">
        <is>
          <t>1. Abrir o carrinho e clicar em Checkout.
2. Preencher Last Name e Postal Code, deixar First Name vazio.
3. Clicar em Continue.</t>
        </is>
      </c>
      <c r="H4" s="5" t="inlineStr">
        <is>
          <t>Mostra o erro "Error: First Name is required".</t>
        </is>
      </c>
      <c r="I4" s="5" t="inlineStr">
        <is>
          <t>Por testar</t>
        </is>
      </c>
      <c r="J4" s="5" t="n"/>
      <c r="K4" s="5" t="n"/>
    </row>
    <row r="5">
      <c r="A5" s="5" t="inlineStr">
        <is>
          <t>CT-CHK-004</t>
        </is>
      </c>
      <c r="B5" s="5" t="inlineStr">
        <is>
          <t>Checkout sem Postal Code</t>
        </is>
      </c>
      <c r="C5" s="5" t="inlineStr">
        <is>
          <t>standard_user</t>
        </is>
      </c>
      <c r="D5" s="5" t="inlineStr">
        <is>
          <t>Partição de equivalência</t>
        </is>
      </c>
      <c r="E5" s="5" t="inlineStr">
        <is>
          <t>Média</t>
        </is>
      </c>
      <c r="F5" s="5" t="inlineStr">
        <is>
          <t>Sessão iniciada com a role indicada; página Products aberta; carrinho vazio. Um produto no carrinho.</t>
        </is>
      </c>
      <c r="G5" s="5" t="inlineStr">
        <is>
          <t>1. Abrir o carrinho e clicar em Checkout.
2. Preencher First Name e Last Name, deixar Postal Code vazio.
3. Clicar em Continue.</t>
        </is>
      </c>
      <c r="H5" s="5" t="inlineStr">
        <is>
          <t>Mostra o erro "Error: Postal Code is required".</t>
        </is>
      </c>
      <c r="I5" s="5" t="inlineStr">
        <is>
          <t>Por testar</t>
        </is>
      </c>
      <c r="J5" s="5" t="n"/>
      <c r="K5" s="5" t="n"/>
    </row>
    <row r="6">
      <c r="A6" s="5" t="inlineStr">
        <is>
          <t>CT-CHK-005</t>
        </is>
      </c>
      <c r="B6" s="5" t="inlineStr">
        <is>
          <t>Total no resumo do checkout</t>
        </is>
      </c>
      <c r="C6" s="5" t="inlineStr">
        <is>
          <t>standard_user</t>
        </is>
      </c>
      <c r="D6" s="5" t="inlineStr">
        <is>
          <t>Valores-limite (cálculo)</t>
        </is>
      </c>
      <c r="E6" s="5" t="inlineStr">
        <is>
          <t>Alta</t>
        </is>
      </c>
      <c r="F6" s="5" t="inlineStr">
        <is>
          <t>Sessão iniciada com a role indicada; página Products aberta; carrinho vazio. Dois produtos no carrinho.</t>
        </is>
      </c>
      <c r="G6" s="5" t="inlineStr">
        <is>
          <t>1. Abrir o carrinho e clicar em Checkout.
2. Preencher os três campos com dados fictícios.
3. Clicar em Continue.</t>
        </is>
      </c>
      <c r="H6" s="5" t="inlineStr">
        <is>
          <t>Total = Item total + Tax, e Item total = soma dos preços dos produtos no carrinho.</t>
        </is>
      </c>
      <c r="I6" s="5" t="inlineStr">
        <is>
          <t>Por testar</t>
        </is>
      </c>
      <c r="J6" s="5" t="n"/>
      <c r="K6" s="5" t="n"/>
    </row>
    <row r="7">
      <c r="A7" s="5" t="inlineStr">
        <is>
          <t>CT-CHK-006</t>
        </is>
      </c>
      <c r="B7" s="5" t="inlineStr">
        <is>
          <t>Concluir a compra</t>
        </is>
      </c>
      <c r="C7" s="5" t="inlineStr">
        <is>
          <t>standard_user</t>
        </is>
      </c>
      <c r="D7" s="5" t="inlineStr">
        <is>
          <t>Transição de estados</t>
        </is>
      </c>
      <c r="E7" s="5" t="inlineStr">
        <is>
          <t>Alta</t>
        </is>
      </c>
      <c r="F7" s="5" t="inlineStr">
        <is>
          <t>Sessão iniciada com a role indicada; página Products aberta; carrinho vazio. Um produto no carrinho.</t>
        </is>
      </c>
      <c r="G7" s="5" t="inlineStr">
        <is>
          <t>1. Fazer o checkout com dados fictícios até ao resumo.
2. Clicar em Finish.</t>
        </is>
      </c>
      <c r="H7" s="5" t="inlineStr">
        <is>
          <t>Mostra "Thank you for your order!" e o carrinho fica vazio.</t>
        </is>
      </c>
      <c r="I7" s="5" t="inlineStr">
        <is>
          <t>Por testar</t>
        </is>
      </c>
      <c r="J7" s="5" t="n"/>
      <c r="K7" s="5" t="n"/>
    </row>
  </sheetData>
  <dataValidations count="1">
    <dataValidation sqref="I2:I200" showDropDown="0" showInputMessage="0" showErrorMessage="0" allowBlank="0" type="list">
      <formula1>"Por testar,Pass,Fail,Blocked,N/A"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Título</t>
        </is>
      </c>
      <c r="C1" s="2" t="inlineStr">
        <is>
          <t>Descrição</t>
        </is>
      </c>
      <c r="D1" s="2" t="inlineStr">
        <is>
          <t>Área</t>
        </is>
      </c>
      <c r="E1" s="2" t="inlineStr">
        <is>
          <t>Caso</t>
        </is>
      </c>
      <c r="F1" s="2" t="inlineStr">
        <is>
          <t>Role</t>
        </is>
      </c>
      <c r="G1" s="2" t="inlineStr">
        <is>
          <t>Severidade</t>
        </is>
      </c>
      <c r="H1" s="2" t="inlineStr">
        <is>
          <t>Prioridade</t>
        </is>
      </c>
      <c r="I1" s="2" t="inlineStr">
        <is>
          <t>Estado</t>
        </is>
      </c>
      <c r="J1" s="2" t="inlineStr">
        <is>
          <t>Reportado por</t>
        </is>
      </c>
      <c r="K1" s="2" t="inlineStr">
        <is>
          <t>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Defeitos ativos (regenerado pelo adaptador — não editar à mão)</t>
        </is>
      </c>
    </row>
    <row r="2">
      <c r="A2" t="inlineStr">
        <is>
          <t>sem defeitos registados</t>
        </is>
      </c>
    </row>
    <row r="3">
      <c r="A3" s="2" t="inlineStr">
        <is>
          <t>ID</t>
        </is>
      </c>
      <c r="B3" s="2" t="inlineStr">
        <is>
          <t>Prioridade</t>
        </is>
      </c>
      <c r="C3" s="2" t="inlineStr">
        <is>
          <t>Severidade</t>
        </is>
      </c>
      <c r="D3" s="2" t="inlineStr">
        <is>
          <t>Estado</t>
        </is>
      </c>
      <c r="E3" s="2" t="inlineStr">
        <is>
          <t>Área</t>
        </is>
      </c>
      <c r="F3" s="2" t="inlineStr">
        <is>
          <t>Título</t>
        </is>
      </c>
      <c r="G3" s="2" t="inlineStr">
        <is>
          <t>Caso</t>
        </is>
      </c>
      <c r="H3" s="2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2026-09-23T17:06:22Z</dcterms:created>
  <dcterms:modified xsi:type="dcterms:W3CDTF">2026-09-23T17:06:22Z</dcterms:modified>
</cp:coreProperties>
</file>